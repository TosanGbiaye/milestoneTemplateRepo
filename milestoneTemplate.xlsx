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lufunmilayo\Desktop\Tavia Projects\Milestone Report\"/>
    </mc:Choice>
  </mc:AlternateContent>
  <bookViews>
    <workbookView xWindow="0" yWindow="0" windowWidth="20490" windowHeight="7665" firstSheet="6" activeTab="7"/>
  </bookViews>
  <sheets>
    <sheet name="Milestone 12-10-2020" sheetId="2" r:id="rId1"/>
    <sheet name="Milestone 19-10-2020" sheetId="3" r:id="rId2"/>
    <sheet name="Milestone 26-10-2020" sheetId="4" r:id="rId3"/>
    <sheet name="Milestone 02-11-2020" sheetId="7" r:id="rId4"/>
    <sheet name="Milestone 09-11-2020" sheetId="8" r:id="rId5"/>
    <sheet name="Milestone 16-11-2020" sheetId="9" r:id="rId6"/>
    <sheet name="Milestone 23-11-2020" sheetId="10" r:id="rId7"/>
    <sheet name="Milestone 30-11-2020" sheetId="11" r:id="rId8"/>
  </sheets>
  <calcPr calcId="162913" concurrentCalc="0"/>
  <pivotCaches>
    <pivotCache cacheId="0" r:id="rId9"/>
    <pivotCache cacheId="1" r:id="rId10"/>
    <pivotCache cacheId="2" r:id="rId11"/>
    <pivotCache cacheId="3" r:id="rId12"/>
    <pivotCache cacheId="4" r:id="rId13"/>
    <pivotCache cacheId="5" r:id="rId14"/>
    <pivotCache cacheId="6" r:id="rId15"/>
    <pivotCache cacheId="7" r:id="rId16"/>
    <pivotCache cacheId="8" r:id="rId17"/>
    <pivotCache cacheId="9" r:id="rId18"/>
    <pivotCache cacheId="10" r:id="rId19"/>
    <pivotCache cacheId="11" r:id="rId2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11" l="1"/>
  <c r="I26" i="11"/>
  <c r="Q12" i="11"/>
  <c r="G62" i="11"/>
  <c r="I62" i="11"/>
  <c r="Q19" i="11"/>
  <c r="E67" i="11"/>
  <c r="D67" i="11"/>
  <c r="G67" i="11"/>
  <c r="I67" i="11"/>
  <c r="F67" i="11"/>
  <c r="G66" i="11"/>
  <c r="I66" i="11"/>
  <c r="G65" i="11"/>
  <c r="I65" i="11"/>
  <c r="G64" i="11"/>
  <c r="I64" i="11"/>
  <c r="G63" i="11"/>
  <c r="I63" i="11"/>
  <c r="G61" i="11"/>
  <c r="I61" i="11"/>
  <c r="G60" i="11"/>
  <c r="I60" i="11"/>
  <c r="E53" i="11"/>
  <c r="D53" i="11"/>
  <c r="G53" i="11"/>
  <c r="I53" i="11"/>
  <c r="F53" i="11"/>
  <c r="G52" i="11"/>
  <c r="I52" i="11"/>
  <c r="G51" i="11"/>
  <c r="I51" i="11"/>
  <c r="G50" i="11"/>
  <c r="I50" i="11"/>
  <c r="G49" i="11"/>
  <c r="I49" i="11"/>
  <c r="E43" i="11"/>
  <c r="D43" i="11"/>
  <c r="G43" i="11"/>
  <c r="I43" i="11"/>
  <c r="F43" i="11"/>
  <c r="G42" i="11"/>
  <c r="I42" i="11"/>
  <c r="G41" i="11"/>
  <c r="I41" i="11"/>
  <c r="G40" i="11"/>
  <c r="I40" i="11"/>
  <c r="G39" i="11"/>
  <c r="I39" i="11"/>
  <c r="G38" i="11"/>
  <c r="I38" i="11"/>
  <c r="G37" i="11"/>
  <c r="I37" i="11"/>
  <c r="G36" i="11"/>
  <c r="I36" i="11"/>
  <c r="E30" i="11"/>
  <c r="D30" i="11"/>
  <c r="G30" i="11"/>
  <c r="I30" i="11"/>
  <c r="F30" i="11"/>
  <c r="G27" i="11"/>
  <c r="I27" i="11"/>
  <c r="G25" i="11"/>
  <c r="I25" i="11"/>
  <c r="G24" i="11"/>
  <c r="I24" i="11"/>
  <c r="Q18" i="11"/>
  <c r="Q17" i="11"/>
  <c r="Q16" i="11"/>
  <c r="Q15" i="11"/>
  <c r="E15" i="11"/>
  <c r="D15" i="11"/>
  <c r="G15" i="11"/>
  <c r="I15" i="11"/>
  <c r="F15" i="11"/>
  <c r="G12" i="11"/>
  <c r="I12" i="11"/>
  <c r="Q11" i="11"/>
  <c r="G11" i="11"/>
  <c r="I11" i="11"/>
  <c r="Q10" i="11"/>
  <c r="G10" i="11"/>
  <c r="I10" i="11"/>
  <c r="Q9" i="11"/>
  <c r="G9" i="11"/>
  <c r="I9" i="11"/>
  <c r="Q8" i="11"/>
  <c r="G8" i="11"/>
  <c r="I8" i="11"/>
  <c r="Q18" i="10"/>
  <c r="Q17" i="10"/>
  <c r="Q21" i="10"/>
  <c r="I65" i="10"/>
  <c r="G50" i="10"/>
  <c r="I50" i="10"/>
  <c r="G51" i="10"/>
  <c r="I51" i="10"/>
  <c r="G52" i="10"/>
  <c r="I52" i="10"/>
  <c r="I53" i="10"/>
  <c r="I54" i="10"/>
  <c r="I55" i="10"/>
  <c r="G53" i="10"/>
  <c r="G54" i="10"/>
  <c r="G55" i="10"/>
  <c r="E69" i="10"/>
  <c r="D69" i="10"/>
  <c r="G69" i="10"/>
  <c r="I69" i="10"/>
  <c r="F69" i="10"/>
  <c r="G68" i="10"/>
  <c r="I68" i="10"/>
  <c r="G67" i="10"/>
  <c r="I67" i="10"/>
  <c r="G66" i="10"/>
  <c r="I66" i="10"/>
  <c r="G65" i="10"/>
  <c r="G64" i="10"/>
  <c r="I64" i="10"/>
  <c r="G63" i="10"/>
  <c r="I63" i="10"/>
  <c r="E56" i="10"/>
  <c r="D56" i="10"/>
  <c r="G56" i="10"/>
  <c r="I56" i="10"/>
  <c r="F56" i="10"/>
  <c r="G49" i="10"/>
  <c r="I49" i="10"/>
  <c r="G48" i="10"/>
  <c r="I48" i="10"/>
  <c r="E42" i="10"/>
  <c r="D42" i="10"/>
  <c r="G42" i="10"/>
  <c r="I42" i="10"/>
  <c r="F42" i="10"/>
  <c r="G41" i="10"/>
  <c r="I41" i="10"/>
  <c r="G40" i="10"/>
  <c r="I40" i="10"/>
  <c r="G39" i="10"/>
  <c r="I39" i="10"/>
  <c r="G38" i="10"/>
  <c r="I38" i="10"/>
  <c r="G37" i="10"/>
  <c r="I37" i="10"/>
  <c r="G36" i="10"/>
  <c r="I36" i="10"/>
  <c r="G35" i="10"/>
  <c r="I35" i="10"/>
  <c r="E29" i="10"/>
  <c r="D29" i="10"/>
  <c r="G29" i="10"/>
  <c r="I29" i="10"/>
  <c r="F29" i="10"/>
  <c r="G28" i="10"/>
  <c r="I28" i="10"/>
  <c r="G27" i="10"/>
  <c r="I27" i="10"/>
  <c r="G26" i="10"/>
  <c r="I26" i="10"/>
  <c r="G25" i="10"/>
  <c r="I25" i="10"/>
  <c r="G24" i="10"/>
  <c r="I24" i="10"/>
  <c r="Q20" i="10"/>
  <c r="Q19" i="10"/>
  <c r="Q16" i="10"/>
  <c r="E15" i="10"/>
  <c r="D15" i="10"/>
  <c r="G15" i="10"/>
  <c r="I15" i="10"/>
  <c r="F15" i="10"/>
  <c r="Q12" i="10"/>
  <c r="G12" i="10"/>
  <c r="I12" i="10"/>
  <c r="Q11" i="10"/>
  <c r="G11" i="10"/>
  <c r="I11" i="10"/>
  <c r="Q10" i="10"/>
  <c r="G10" i="10"/>
  <c r="I10" i="10"/>
  <c r="Q9" i="10"/>
  <c r="G9" i="10"/>
  <c r="I9" i="10"/>
  <c r="Q8" i="10"/>
  <c r="G8" i="10"/>
  <c r="I8" i="10"/>
  <c r="Q19" i="9"/>
  <c r="Q20" i="9"/>
  <c r="Q17" i="9"/>
  <c r="I48" i="9"/>
  <c r="G49" i="9"/>
  <c r="I49" i="9"/>
  <c r="Q15" i="9"/>
  <c r="O16" i="9"/>
  <c r="P16" i="9"/>
  <c r="G48" i="9"/>
  <c r="G35" i="9"/>
  <c r="I35" i="9"/>
  <c r="G25" i="9"/>
  <c r="I25" i="9"/>
  <c r="Q11" i="9"/>
  <c r="G24" i="9"/>
  <c r="I24" i="9"/>
  <c r="Q10" i="9"/>
  <c r="G11" i="9"/>
  <c r="I11" i="9"/>
  <c r="Q9" i="9"/>
  <c r="E66" i="9"/>
  <c r="D66" i="9"/>
  <c r="G66" i="9"/>
  <c r="I66" i="9"/>
  <c r="F66" i="9"/>
  <c r="G65" i="9"/>
  <c r="I65" i="9"/>
  <c r="G64" i="9"/>
  <c r="I64" i="9"/>
  <c r="G63" i="9"/>
  <c r="I63" i="9"/>
  <c r="G62" i="9"/>
  <c r="I62" i="9"/>
  <c r="G61" i="9"/>
  <c r="I61" i="9"/>
  <c r="G60" i="9"/>
  <c r="I60" i="9"/>
  <c r="E53" i="9"/>
  <c r="D53" i="9"/>
  <c r="G53" i="9"/>
  <c r="I53" i="9"/>
  <c r="F53" i="9"/>
  <c r="G52" i="9"/>
  <c r="I52" i="9"/>
  <c r="G51" i="9"/>
  <c r="I51" i="9"/>
  <c r="G50" i="9"/>
  <c r="I50" i="9"/>
  <c r="E42" i="9"/>
  <c r="D42" i="9"/>
  <c r="G42" i="9"/>
  <c r="I42" i="9"/>
  <c r="F42" i="9"/>
  <c r="G41" i="9"/>
  <c r="I41" i="9"/>
  <c r="G40" i="9"/>
  <c r="I40" i="9"/>
  <c r="G39" i="9"/>
  <c r="I39" i="9"/>
  <c r="G38" i="9"/>
  <c r="I38" i="9"/>
  <c r="G37" i="9"/>
  <c r="I37" i="9"/>
  <c r="G36" i="9"/>
  <c r="I36" i="9"/>
  <c r="E29" i="9"/>
  <c r="D29" i="9"/>
  <c r="G29" i="9"/>
  <c r="I29" i="9"/>
  <c r="F29" i="9"/>
  <c r="G28" i="9"/>
  <c r="I28" i="9"/>
  <c r="G27" i="9"/>
  <c r="I27" i="9"/>
  <c r="G26" i="9"/>
  <c r="I26" i="9"/>
  <c r="Q21" i="9"/>
  <c r="E15" i="9"/>
  <c r="D15" i="9"/>
  <c r="G15" i="9"/>
  <c r="I15" i="9"/>
  <c r="F15" i="9"/>
  <c r="Q12" i="9"/>
  <c r="G12" i="9"/>
  <c r="I12" i="9"/>
  <c r="G10" i="9"/>
  <c r="I10" i="9"/>
  <c r="G9" i="9"/>
  <c r="I9" i="9"/>
  <c r="Q8" i="9"/>
  <c r="G8" i="9"/>
  <c r="I8" i="9"/>
  <c r="Q19" i="8"/>
  <c r="Q18" i="8"/>
  <c r="G29" i="8"/>
  <c r="I29" i="8"/>
  <c r="Q13" i="8"/>
  <c r="G9" i="8"/>
  <c r="I9" i="8"/>
  <c r="Q8" i="8"/>
  <c r="G24" i="8"/>
  <c r="I24" i="8"/>
  <c r="Q9" i="8"/>
  <c r="G25" i="8"/>
  <c r="I25" i="8"/>
  <c r="Q10" i="8"/>
  <c r="G26" i="8"/>
  <c r="I26" i="8"/>
  <c r="Q11" i="8"/>
  <c r="G28" i="8"/>
  <c r="I28" i="8"/>
  <c r="Q12" i="8"/>
  <c r="G37" i="8"/>
  <c r="I37" i="8"/>
  <c r="Q14" i="8"/>
  <c r="G50" i="8"/>
  <c r="I50" i="8"/>
  <c r="Q15" i="8"/>
  <c r="G51" i="8"/>
  <c r="I51" i="8"/>
  <c r="Q16" i="8"/>
  <c r="G52" i="8"/>
  <c r="I52" i="8"/>
  <c r="Q17" i="8"/>
  <c r="G64" i="8"/>
  <c r="I64" i="8"/>
  <c r="Q20" i="8"/>
  <c r="G65" i="8"/>
  <c r="I65" i="8"/>
  <c r="Q21" i="8"/>
  <c r="G66" i="8"/>
  <c r="I66" i="8"/>
  <c r="Q22" i="8"/>
  <c r="E71" i="8"/>
  <c r="D71" i="8"/>
  <c r="G71" i="8"/>
  <c r="I71" i="8"/>
  <c r="F71" i="8"/>
  <c r="G70" i="8"/>
  <c r="I70" i="8"/>
  <c r="G69" i="8"/>
  <c r="I69" i="8"/>
  <c r="G68" i="8"/>
  <c r="I68" i="8"/>
  <c r="G67" i="8"/>
  <c r="I67" i="8"/>
  <c r="E57" i="8"/>
  <c r="D57" i="8"/>
  <c r="G57" i="8"/>
  <c r="I57" i="8"/>
  <c r="F57" i="8"/>
  <c r="G56" i="8"/>
  <c r="I56" i="8"/>
  <c r="G55" i="8"/>
  <c r="I55" i="8"/>
  <c r="G54" i="8"/>
  <c r="I54" i="8"/>
  <c r="G53" i="8"/>
  <c r="I53" i="8"/>
  <c r="E44" i="8"/>
  <c r="D44" i="8"/>
  <c r="G44" i="8"/>
  <c r="I44" i="8"/>
  <c r="F44" i="8"/>
  <c r="G43" i="8"/>
  <c r="I43" i="8"/>
  <c r="G42" i="8"/>
  <c r="I42" i="8"/>
  <c r="G41" i="8"/>
  <c r="I41" i="8"/>
  <c r="G40" i="8"/>
  <c r="I40" i="8"/>
  <c r="G39" i="8"/>
  <c r="I39" i="8"/>
  <c r="G38" i="8"/>
  <c r="I38" i="8"/>
  <c r="E31" i="8"/>
  <c r="D31" i="8"/>
  <c r="G31" i="8"/>
  <c r="I31" i="8"/>
  <c r="F31" i="8"/>
  <c r="G30" i="8"/>
  <c r="I30" i="8"/>
  <c r="G27" i="8"/>
  <c r="I27" i="8"/>
  <c r="E15" i="8"/>
  <c r="D15" i="8"/>
  <c r="G15" i="8"/>
  <c r="I15" i="8"/>
  <c r="F15" i="8"/>
  <c r="G12" i="8"/>
  <c r="I12" i="8"/>
  <c r="G11" i="8"/>
  <c r="I11" i="8"/>
  <c r="G10" i="8"/>
  <c r="I10" i="8"/>
  <c r="G8" i="8"/>
  <c r="I8" i="8"/>
  <c r="S16" i="7"/>
  <c r="S17" i="7"/>
  <c r="S18" i="7"/>
  <c r="S13" i="7"/>
  <c r="S14" i="7"/>
  <c r="S15" i="7"/>
  <c r="S12" i="7"/>
  <c r="S10" i="7"/>
  <c r="S11" i="7"/>
  <c r="I27" i="7"/>
  <c r="I28" i="7"/>
  <c r="S9" i="7"/>
  <c r="S8" i="7"/>
  <c r="S7" i="7"/>
  <c r="E70" i="7"/>
  <c r="D70" i="7"/>
  <c r="G70" i="7"/>
  <c r="I70" i="7"/>
  <c r="F70" i="7"/>
  <c r="G69" i="7"/>
  <c r="I69" i="7"/>
  <c r="G68" i="7"/>
  <c r="I68" i="7"/>
  <c r="G67" i="7"/>
  <c r="I67" i="7"/>
  <c r="G66" i="7"/>
  <c r="I66" i="7"/>
  <c r="G65" i="7"/>
  <c r="I65" i="7"/>
  <c r="G64" i="7"/>
  <c r="I64" i="7"/>
  <c r="G63" i="7"/>
  <c r="I63" i="7"/>
  <c r="E56" i="7"/>
  <c r="D56" i="7"/>
  <c r="G56" i="7"/>
  <c r="I56" i="7"/>
  <c r="F56" i="7"/>
  <c r="G55" i="7"/>
  <c r="I55" i="7"/>
  <c r="G54" i="7"/>
  <c r="I54" i="7"/>
  <c r="G53" i="7"/>
  <c r="I53" i="7"/>
  <c r="G52" i="7"/>
  <c r="I52" i="7"/>
  <c r="G51" i="7"/>
  <c r="I51" i="7"/>
  <c r="G50" i="7"/>
  <c r="I50" i="7"/>
  <c r="G49" i="7"/>
  <c r="I49" i="7"/>
  <c r="E43" i="7"/>
  <c r="D43" i="7"/>
  <c r="G43" i="7"/>
  <c r="I43" i="7"/>
  <c r="F43" i="7"/>
  <c r="G42" i="7"/>
  <c r="I42" i="7"/>
  <c r="G41" i="7"/>
  <c r="I41" i="7"/>
  <c r="G40" i="7"/>
  <c r="I40" i="7"/>
  <c r="G39" i="7"/>
  <c r="I39" i="7"/>
  <c r="G38" i="7"/>
  <c r="I38" i="7"/>
  <c r="G37" i="7"/>
  <c r="I37" i="7"/>
  <c r="G36" i="7"/>
  <c r="I36" i="7"/>
  <c r="E30" i="7"/>
  <c r="D30" i="7"/>
  <c r="G30" i="7"/>
  <c r="I30" i="7"/>
  <c r="F30" i="7"/>
  <c r="G29" i="7"/>
  <c r="I29" i="7"/>
  <c r="G28" i="7"/>
  <c r="G27" i="7"/>
  <c r="G26" i="7"/>
  <c r="I26" i="7"/>
  <c r="G25" i="7"/>
  <c r="I25" i="7"/>
  <c r="G24" i="7"/>
  <c r="I24" i="7"/>
  <c r="G23" i="7"/>
  <c r="I23" i="7"/>
  <c r="E14" i="7"/>
  <c r="D14" i="7"/>
  <c r="G14" i="7"/>
  <c r="I14" i="7"/>
  <c r="F14" i="7"/>
  <c r="G13" i="7"/>
  <c r="I13" i="7"/>
  <c r="G12" i="7"/>
  <c r="I12" i="7"/>
  <c r="G11" i="7"/>
  <c r="I11" i="7"/>
  <c r="G10" i="7"/>
  <c r="I10" i="7"/>
  <c r="G9" i="7"/>
  <c r="I9" i="7"/>
  <c r="G8" i="7"/>
  <c r="I8" i="7"/>
  <c r="E68" i="4"/>
  <c r="D68" i="4"/>
  <c r="G68" i="4"/>
  <c r="I68" i="4"/>
  <c r="F68" i="4"/>
  <c r="G67" i="4"/>
  <c r="I67" i="4"/>
  <c r="G66" i="4"/>
  <c r="I66" i="4"/>
  <c r="G65" i="4"/>
  <c r="I65" i="4"/>
  <c r="G64" i="4"/>
  <c r="I64" i="4"/>
  <c r="G63" i="4"/>
  <c r="I63" i="4"/>
  <c r="G62" i="4"/>
  <c r="I62" i="4"/>
  <c r="G61" i="4"/>
  <c r="I61" i="4"/>
  <c r="E54" i="4"/>
  <c r="D54" i="4"/>
  <c r="G54" i="4"/>
  <c r="I54" i="4"/>
  <c r="F54" i="4"/>
  <c r="G53" i="4"/>
  <c r="I53" i="4"/>
  <c r="G52" i="4"/>
  <c r="I52" i="4"/>
  <c r="G51" i="4"/>
  <c r="I51" i="4"/>
  <c r="G50" i="4"/>
  <c r="I50" i="4"/>
  <c r="G49" i="4"/>
  <c r="I49" i="4"/>
  <c r="G48" i="4"/>
  <c r="I48" i="4"/>
  <c r="G47" i="4"/>
  <c r="I47" i="4"/>
  <c r="E41" i="4"/>
  <c r="D41" i="4"/>
  <c r="G41" i="4"/>
  <c r="I41" i="4"/>
  <c r="F41" i="4"/>
  <c r="G40" i="4"/>
  <c r="I40" i="4"/>
  <c r="G39" i="4"/>
  <c r="I39" i="4"/>
  <c r="G38" i="4"/>
  <c r="I38" i="4"/>
  <c r="G37" i="4"/>
  <c r="I37" i="4"/>
  <c r="G36" i="4"/>
  <c r="I36" i="4"/>
  <c r="G35" i="4"/>
  <c r="I35" i="4"/>
  <c r="G34" i="4"/>
  <c r="I34" i="4"/>
  <c r="E28" i="4"/>
  <c r="D28" i="4"/>
  <c r="G28" i="4"/>
  <c r="I28" i="4"/>
  <c r="F28" i="4"/>
  <c r="G27" i="4"/>
  <c r="I27" i="4"/>
  <c r="G26" i="4"/>
  <c r="I26" i="4"/>
  <c r="G25" i="4"/>
  <c r="I25" i="4"/>
  <c r="G24" i="4"/>
  <c r="I24" i="4"/>
  <c r="G23" i="4"/>
  <c r="I23" i="4"/>
  <c r="G22" i="4"/>
  <c r="I22" i="4"/>
  <c r="G21" i="4"/>
  <c r="I21" i="4"/>
  <c r="E15" i="4"/>
  <c r="D15" i="4"/>
  <c r="G15" i="4"/>
  <c r="I15" i="4"/>
  <c r="F15" i="4"/>
  <c r="G14" i="4"/>
  <c r="I14" i="4"/>
  <c r="G13" i="4"/>
  <c r="I13" i="4"/>
  <c r="G12" i="4"/>
  <c r="I12" i="4"/>
  <c r="G11" i="4"/>
  <c r="I11" i="4"/>
  <c r="G10" i="4"/>
  <c r="I10" i="4"/>
  <c r="G9" i="4"/>
  <c r="I9" i="4"/>
  <c r="G8" i="4"/>
  <c r="I8" i="4"/>
  <c r="E68" i="3"/>
  <c r="D68" i="3"/>
  <c r="G68" i="3"/>
  <c r="I68" i="3"/>
  <c r="F68" i="3"/>
  <c r="G67" i="3"/>
  <c r="I67" i="3"/>
  <c r="G66" i="3"/>
  <c r="I66" i="3"/>
  <c r="G65" i="3"/>
  <c r="I65" i="3"/>
  <c r="G64" i="3"/>
  <c r="I64" i="3"/>
  <c r="G63" i="3"/>
  <c r="I63" i="3"/>
  <c r="G62" i="3"/>
  <c r="I62" i="3"/>
  <c r="G61" i="3"/>
  <c r="I61" i="3"/>
  <c r="E54" i="3"/>
  <c r="D54" i="3"/>
  <c r="G54" i="3"/>
  <c r="I54" i="3"/>
  <c r="F54" i="3"/>
  <c r="G53" i="3"/>
  <c r="I53" i="3"/>
  <c r="G52" i="3"/>
  <c r="I52" i="3"/>
  <c r="G51" i="3"/>
  <c r="I51" i="3"/>
  <c r="G50" i="3"/>
  <c r="I50" i="3"/>
  <c r="G49" i="3"/>
  <c r="I49" i="3"/>
  <c r="G48" i="3"/>
  <c r="I48" i="3"/>
  <c r="G47" i="3"/>
  <c r="I47" i="3"/>
  <c r="E41" i="3"/>
  <c r="D41" i="3"/>
  <c r="G41" i="3"/>
  <c r="I41" i="3"/>
  <c r="F41" i="3"/>
  <c r="G40" i="3"/>
  <c r="I40" i="3"/>
  <c r="G39" i="3"/>
  <c r="I39" i="3"/>
  <c r="G38" i="3"/>
  <c r="I38" i="3"/>
  <c r="G37" i="3"/>
  <c r="I37" i="3"/>
  <c r="G36" i="3"/>
  <c r="I36" i="3"/>
  <c r="G35" i="3"/>
  <c r="I35" i="3"/>
  <c r="G34" i="3"/>
  <c r="I34" i="3"/>
  <c r="E28" i="3"/>
  <c r="D28" i="3"/>
  <c r="G28" i="3"/>
  <c r="I28" i="3"/>
  <c r="F28" i="3"/>
  <c r="G27" i="3"/>
  <c r="I27" i="3"/>
  <c r="G26" i="3"/>
  <c r="I26" i="3"/>
  <c r="G25" i="3"/>
  <c r="I25" i="3"/>
  <c r="G24" i="3"/>
  <c r="I24" i="3"/>
  <c r="G23" i="3"/>
  <c r="I23" i="3"/>
  <c r="G22" i="3"/>
  <c r="I22" i="3"/>
  <c r="G21" i="3"/>
  <c r="I21" i="3"/>
  <c r="E15" i="3"/>
  <c r="D15" i="3"/>
  <c r="G15" i="3"/>
  <c r="I15" i="3"/>
  <c r="F15" i="3"/>
  <c r="G14" i="3"/>
  <c r="I14" i="3"/>
  <c r="G13" i="3"/>
  <c r="I13" i="3"/>
  <c r="G12" i="3"/>
  <c r="I12" i="3"/>
  <c r="G11" i="3"/>
  <c r="I11" i="3"/>
  <c r="G10" i="3"/>
  <c r="I10" i="3"/>
  <c r="G9" i="3"/>
  <c r="I9" i="3"/>
  <c r="G8" i="3"/>
  <c r="I8" i="3"/>
  <c r="D15" i="2"/>
  <c r="E15" i="2"/>
  <c r="G15" i="2"/>
  <c r="I15" i="2"/>
  <c r="I8" i="2"/>
  <c r="I62" i="2"/>
  <c r="G63" i="2"/>
  <c r="I63" i="2"/>
  <c r="I64" i="2"/>
  <c r="I65" i="2"/>
  <c r="I66" i="2"/>
  <c r="I67" i="2"/>
  <c r="D68" i="2"/>
  <c r="E68" i="2"/>
  <c r="G68" i="2"/>
  <c r="I68" i="2"/>
  <c r="I61" i="2"/>
  <c r="G48" i="2"/>
  <c r="I48" i="2"/>
  <c r="G49" i="2"/>
  <c r="I49" i="2"/>
  <c r="I50" i="2"/>
  <c r="I51" i="2"/>
  <c r="I52" i="2"/>
  <c r="I53" i="2"/>
  <c r="D54" i="2"/>
  <c r="E54" i="2"/>
  <c r="G54" i="2"/>
  <c r="I54" i="2"/>
  <c r="I47" i="2"/>
  <c r="I35" i="2"/>
  <c r="I36" i="2"/>
  <c r="I37" i="2"/>
  <c r="I38" i="2"/>
  <c r="I39" i="2"/>
  <c r="I40" i="2"/>
  <c r="D41" i="2"/>
  <c r="E41" i="2"/>
  <c r="G41" i="2"/>
  <c r="I41" i="2"/>
  <c r="G34" i="2"/>
  <c r="I34" i="2"/>
  <c r="G22" i="2"/>
  <c r="I22" i="2"/>
  <c r="G23" i="2"/>
  <c r="I23" i="2"/>
  <c r="I24" i="2"/>
  <c r="G25" i="2"/>
  <c r="I25" i="2"/>
  <c r="G26" i="2"/>
  <c r="I26" i="2"/>
  <c r="I27" i="2"/>
  <c r="D28" i="2"/>
  <c r="E28" i="2"/>
  <c r="G28" i="2"/>
  <c r="I28" i="2"/>
  <c r="I21" i="2"/>
  <c r="I9" i="2"/>
  <c r="I10" i="2"/>
  <c r="G11" i="2"/>
  <c r="I11" i="2"/>
  <c r="G12" i="2"/>
  <c r="I12" i="2"/>
  <c r="I13" i="2"/>
  <c r="I14" i="2"/>
  <c r="G62" i="2"/>
  <c r="G64" i="2"/>
  <c r="G65" i="2"/>
  <c r="G66" i="2"/>
  <c r="G67" i="2"/>
  <c r="G61" i="2"/>
  <c r="G50" i="2"/>
  <c r="G51" i="2"/>
  <c r="G52" i="2"/>
  <c r="G53" i="2"/>
  <c r="G47" i="2"/>
  <c r="G35" i="2"/>
  <c r="G36" i="2"/>
  <c r="G37" i="2"/>
  <c r="G38" i="2"/>
  <c r="G39" i="2"/>
  <c r="G40" i="2"/>
  <c r="G24" i="2"/>
  <c r="G27" i="2"/>
  <c r="G21" i="2"/>
  <c r="G9" i="2"/>
  <c r="G10" i="2"/>
  <c r="G13" i="2"/>
  <c r="G14" i="2"/>
  <c r="G8" i="2"/>
  <c r="F68" i="2"/>
  <c r="F54" i="2"/>
  <c r="F41" i="2"/>
  <c r="F28" i="2"/>
  <c r="F15" i="2"/>
</calcChain>
</file>

<file path=xl/sharedStrings.xml><?xml version="1.0" encoding="utf-8"?>
<sst xmlns="http://schemas.openxmlformats.org/spreadsheetml/2006/main" count="1319" uniqueCount="103">
  <si>
    <t>Planned Duration</t>
  </si>
  <si>
    <t>Actual Duration</t>
  </si>
  <si>
    <t>Deviation</t>
  </si>
  <si>
    <t>Milestone Reports</t>
  </si>
  <si>
    <t>Milestone 1 - Analysis</t>
  </si>
  <si>
    <t>Project</t>
  </si>
  <si>
    <t>Duration to Date</t>
  </si>
  <si>
    <t>S/N</t>
  </si>
  <si>
    <t>Total</t>
  </si>
  <si>
    <t>Milestone 2 - Development</t>
  </si>
  <si>
    <t>Milestone 3 - IAT</t>
  </si>
  <si>
    <t>Milestone 3 - SIT/UAT</t>
  </si>
  <si>
    <t>Milestone 4 - Sanity</t>
  </si>
  <si>
    <t>% Deviation</t>
  </si>
  <si>
    <t>RAG Status</t>
  </si>
  <si>
    <t>Comment</t>
  </si>
  <si>
    <t>Actual</t>
  </si>
  <si>
    <t>To Date</t>
  </si>
  <si>
    <t>Green</t>
  </si>
  <si>
    <t>Red</t>
  </si>
  <si>
    <t>Virtual BTF</t>
  </si>
  <si>
    <t>CPG 2.0 drop 2 –sprint 2</t>
  </si>
  <si>
    <t>E-ballot CR</t>
  </si>
  <si>
    <t>CPG 2.0 drop 2 – Sprint 1</t>
  </si>
  <si>
    <t>DM 360 (Reports Migration)</t>
  </si>
  <si>
    <t>CPG 2.0 Phase 1</t>
  </si>
  <si>
    <t>Amber</t>
  </si>
  <si>
    <t>Electronic Asset Movement Form (EMAF)</t>
  </si>
  <si>
    <t>9 Mobile Sim Swap CR - Phase 2</t>
  </si>
  <si>
    <t>YelloDoc CR – Sprint 2</t>
  </si>
  <si>
    <t>Share UI Revamp – Drop 2 (Custom WFs/Apps) - UI</t>
  </si>
  <si>
    <t>Share UI Revamp – Drop 2 (Custom WFs/Apps) - Integration</t>
  </si>
  <si>
    <t>Development resource constraint to proceed</t>
  </si>
  <si>
    <t>Share UI Revamp – Drop 2 (Div/Dept Pages)</t>
  </si>
  <si>
    <t>TSS CR – Medical Flow</t>
  </si>
  <si>
    <t>Share UI Revamp – Drop 1 (Div/Dept Pages)</t>
  </si>
  <si>
    <t>Awaiting Deployment</t>
  </si>
  <si>
    <t>E-Test</t>
  </si>
  <si>
    <t>Asset disposal form</t>
  </si>
  <si>
    <t>SDD to be completed on the 13th of Oct</t>
  </si>
  <si>
    <t>CSI portal</t>
  </si>
  <si>
    <t>Online health Declaration</t>
  </si>
  <si>
    <t>Row Labels</t>
  </si>
  <si>
    <t>(blank)</t>
  </si>
  <si>
    <t>Grand Total</t>
  </si>
  <si>
    <t>Count of Project</t>
  </si>
  <si>
    <t>Analysis Stage</t>
  </si>
  <si>
    <t>Development Stage</t>
  </si>
  <si>
    <t>IAT Stage</t>
  </si>
  <si>
    <t>SIT/UAT Stage</t>
  </si>
  <si>
    <t>Sanity Stage</t>
  </si>
  <si>
    <t>SDD pendig on MTNN</t>
  </si>
  <si>
    <t>Development of 20 UIs completed, pending Integration</t>
  </si>
  <si>
    <t>Pending completion on one last department having access issues</t>
  </si>
  <si>
    <t xml:space="preserve">Amber </t>
  </si>
  <si>
    <t xml:space="preserve">% Deviation is more than 70% </t>
  </si>
  <si>
    <t>% Deviation is equal to and less than 0%</t>
  </si>
  <si>
    <t xml:space="preserve">% Deviation is above 0% to 69% </t>
  </si>
  <si>
    <t>Completed Ready for Deployment</t>
  </si>
  <si>
    <t>Completed</t>
  </si>
  <si>
    <t>Suspended</t>
  </si>
  <si>
    <t>Requirement document has been approved</t>
  </si>
  <si>
    <t>% Deviation is less than and equal to 0%</t>
  </si>
  <si>
    <t xml:space="preserve">% Deviation is equal to and more than 70% </t>
  </si>
  <si>
    <t xml:space="preserve">% Deviation is equal to and more than 30% </t>
  </si>
  <si>
    <t xml:space="preserve">% Deviation is above 0% to 29% </t>
  </si>
  <si>
    <t xml:space="preserve">% Deviation is above 0% to 10% </t>
  </si>
  <si>
    <t xml:space="preserve">% Deviation is equal to and more than 11% </t>
  </si>
  <si>
    <r>
      <t>Exited UAT. </t>
    </r>
    <r>
      <rPr>
        <sz val="11"/>
        <color rgb="FF000000"/>
        <rFont val="Calibri"/>
        <family val="2"/>
        <scheme val="minor"/>
      </rPr>
      <t>Ready for Deployment</t>
    </r>
  </si>
  <si>
    <t>At Risk, as developer is still yet to release for IAT to commence 02/11/2020</t>
  </si>
  <si>
    <t>Stage</t>
  </si>
  <si>
    <t>Analysis</t>
  </si>
  <si>
    <t>%Deviation</t>
  </si>
  <si>
    <t>Development</t>
  </si>
  <si>
    <t xml:space="preserve">Share UI Revamp – Drop 2 </t>
  </si>
  <si>
    <t>IAT</t>
  </si>
  <si>
    <t>Sanity</t>
  </si>
  <si>
    <t>SIT/UAT</t>
  </si>
  <si>
    <t>Column Labels</t>
  </si>
  <si>
    <t>Sum of %Deviation</t>
  </si>
  <si>
    <t>Lost 6 days as recourse was sick. The voting and voting report will be completed 10th Nov</t>
  </si>
  <si>
    <t>Resources was charged, we lost 10 working days. Submitted 9th Nov</t>
  </si>
  <si>
    <t>CSI Portal</t>
  </si>
  <si>
    <r>
      <t>The initiation to review stage has been in UAT since 3</t>
    </r>
    <r>
      <rPr>
        <vertAlign val="superscript"/>
        <sz val="11"/>
        <rFont val="Calibri"/>
        <family val="2"/>
        <scheme val="minor"/>
      </rPr>
      <t>rd</t>
    </r>
    <r>
      <rPr>
        <sz val="11"/>
        <rFont val="Calibri"/>
        <family val="2"/>
        <scheme val="minor"/>
      </rPr>
      <t> of Nov</t>
    </r>
  </si>
  <si>
    <t>At Risk, as developer is still yet to release for IAT to commence. Concerns about email delivery issues on Sharepoint test environment causing futher delay since  05/11/2020</t>
  </si>
  <si>
    <t>Completed Data migration planning in progress</t>
  </si>
  <si>
    <t>Online Health</t>
  </si>
  <si>
    <t xml:space="preserve">TSS CR </t>
  </si>
  <si>
    <t xml:space="preserve">Share UI Revamp – Drop 1 </t>
  </si>
  <si>
    <t xml:space="preserve">DM 360 </t>
  </si>
  <si>
    <t>E-Test/ORC Integration</t>
  </si>
  <si>
    <t>Electronic Asset Movement</t>
  </si>
  <si>
    <t>EAMF</t>
  </si>
  <si>
    <t>ADF</t>
  </si>
  <si>
    <t xml:space="preserve">Online Health </t>
  </si>
  <si>
    <t>Completed. Data Migration Planning in progress</t>
  </si>
  <si>
    <t xml:space="preserve">E-Test </t>
  </si>
  <si>
    <t>Online health Declaration (IAT)</t>
  </si>
  <si>
    <t>Online health Declaration (UAT)</t>
  </si>
  <si>
    <t>CPG 2.0 Drop 2-Sprint 1</t>
  </si>
  <si>
    <t>Awaiting development resource identification</t>
  </si>
  <si>
    <t>ADF (AS-IS)</t>
  </si>
  <si>
    <t>Closed at 85%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</si>
</sst>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01F1E"/>
      <name val="Calibri"/>
      <family val="2"/>
      <scheme val="minor"/>
    </font>
    <font>
      <sz val="11"/>
      <color rgb="FF1F497D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163">
    <xf numFmtId="0" fontId="0" fillId="0" borderId="0" xfId="0"/>
    <xf numFmtId="0" fontId="0" fillId="0" borderId="10" xfId="0" applyBorder="1"/>
    <xf numFmtId="0" fontId="0" fillId="0" borderId="11" xfId="0" applyBorder="1"/>
    <xf numFmtId="0" fontId="2" fillId="0" borderId="0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" fillId="3" borderId="23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0" borderId="6" xfId="0" applyFont="1" applyBorder="1" applyAlignment="1">
      <alignment wrapText="1"/>
    </xf>
    <xf numFmtId="10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6" xfId="0" applyBorder="1" applyAlignment="1">
      <alignment horizontal="left" wrapText="1"/>
    </xf>
    <xf numFmtId="0" fontId="3" fillId="0" borderId="18" xfId="0" applyFont="1" applyBorder="1" applyAlignment="1">
      <alignment wrapText="1"/>
    </xf>
    <xf numFmtId="0" fontId="0" fillId="0" borderId="19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3" fillId="0" borderId="6" xfId="0" applyFont="1" applyBorder="1"/>
    <xf numFmtId="10" fontId="0" fillId="0" borderId="13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Fill="1" applyBorder="1"/>
    <xf numFmtId="0" fontId="2" fillId="0" borderId="0" xfId="0" applyFont="1"/>
    <xf numFmtId="0" fontId="0" fillId="0" borderId="15" xfId="0" applyBorder="1" applyAlignment="1">
      <alignment horizontal="center"/>
    </xf>
    <xf numFmtId="0" fontId="3" fillId="0" borderId="10" xfId="0" applyFont="1" applyBorder="1"/>
    <xf numFmtId="10" fontId="0" fillId="0" borderId="10" xfId="0" applyNumberFormat="1" applyBorder="1" applyAlignment="1">
      <alignment horizontal="center"/>
    </xf>
    <xf numFmtId="164" fontId="1" fillId="4" borderId="10" xfId="1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3" fillId="0" borderId="10" xfId="0" applyFont="1" applyBorder="1" applyAlignment="1">
      <alignment wrapText="1"/>
    </xf>
    <xf numFmtId="0" fontId="0" fillId="0" borderId="6" xfId="0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5" borderId="28" xfId="0" applyFill="1" applyBorder="1"/>
    <xf numFmtId="0" fontId="0" fillId="6" borderId="28" xfId="0" applyFill="1" applyBorder="1"/>
    <xf numFmtId="0" fontId="0" fillId="7" borderId="28" xfId="0" applyFill="1" applyBorder="1"/>
    <xf numFmtId="0" fontId="0" fillId="0" borderId="5" xfId="0" applyBorder="1"/>
    <xf numFmtId="0" fontId="0" fillId="0" borderId="16" xfId="0" applyBorder="1"/>
    <xf numFmtId="0" fontId="0" fillId="0" borderId="17" xfId="0" applyBorder="1"/>
    <xf numFmtId="0" fontId="3" fillId="0" borderId="23" xfId="0" applyFont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Border="1"/>
    <xf numFmtId="0" fontId="4" fillId="0" borderId="6" xfId="0" applyFont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28" xfId="0" applyBorder="1"/>
    <xf numFmtId="0" fontId="3" fillId="0" borderId="28" xfId="0" applyFont="1" applyBorder="1" applyAlignment="1">
      <alignment wrapText="1"/>
    </xf>
    <xf numFmtId="164" fontId="0" fillId="0" borderId="28" xfId="0" applyNumberFormat="1" applyBorder="1"/>
    <xf numFmtId="0" fontId="0" fillId="0" borderId="28" xfId="0" applyBorder="1" applyAlignment="1">
      <alignment horizontal="left" wrapText="1"/>
    </xf>
    <xf numFmtId="164" fontId="0" fillId="0" borderId="28" xfId="0" applyNumberFormat="1" applyFill="1" applyBorder="1"/>
    <xf numFmtId="0" fontId="3" fillId="0" borderId="28" xfId="0" applyFont="1" applyBorder="1"/>
    <xf numFmtId="10" fontId="0" fillId="0" borderId="28" xfId="0" applyNumberFormat="1" applyBorder="1"/>
    <xf numFmtId="0" fontId="2" fillId="0" borderId="28" xfId="0" applyFont="1" applyBorder="1"/>
    <xf numFmtId="0" fontId="2" fillId="0" borderId="28" xfId="0" applyFont="1" applyFill="1" applyBorder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8" borderId="6" xfId="0" applyFill="1" applyBorder="1" applyAlignment="1">
      <alignment horizontal="center"/>
    </xf>
    <xf numFmtId="0" fontId="0" fillId="8" borderId="6" xfId="0" applyFill="1" applyBorder="1" applyAlignment="1">
      <alignment horizontal="left" wrapText="1"/>
    </xf>
    <xf numFmtId="0" fontId="0" fillId="8" borderId="24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164" fontId="0" fillId="8" borderId="6" xfId="0" applyNumberFormat="1" applyFill="1" applyBorder="1" applyAlignment="1">
      <alignment horizontal="center"/>
    </xf>
    <xf numFmtId="0" fontId="0" fillId="8" borderId="6" xfId="0" applyFill="1" applyBorder="1"/>
    <xf numFmtId="0" fontId="0" fillId="8" borderId="10" xfId="0" applyFill="1" applyBorder="1"/>
    <xf numFmtId="0" fontId="0" fillId="8" borderId="12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5" xfId="0" applyFill="1" applyBorder="1"/>
    <xf numFmtId="0" fontId="0" fillId="8" borderId="10" xfId="0" applyFill="1" applyBorder="1" applyAlignment="1">
      <alignment horizontal="center"/>
    </xf>
    <xf numFmtId="164" fontId="1" fillId="8" borderId="10" xfId="1" applyNumberFormat="1" applyFill="1" applyBorder="1" applyAlignment="1">
      <alignment horizontal="center"/>
    </xf>
    <xf numFmtId="0" fontId="7" fillId="0" borderId="18" xfId="0" applyFont="1" applyBorder="1" applyAlignment="1">
      <alignment wrapText="1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0" fillId="0" borderId="18" xfId="0" applyBorder="1"/>
    <xf numFmtId="0" fontId="0" fillId="0" borderId="27" xfId="0" applyBorder="1"/>
    <xf numFmtId="0" fontId="0" fillId="0" borderId="28" xfId="0" applyFill="1" applyBorder="1"/>
    <xf numFmtId="0" fontId="3" fillId="0" borderId="28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0" borderId="0" xfId="0" applyFont="1"/>
    <xf numFmtId="0" fontId="0" fillId="0" borderId="28" xfId="0" applyBorder="1" applyAlignment="1">
      <alignment horizontal="center"/>
    </xf>
    <xf numFmtId="0" fontId="3" fillId="0" borderId="0" xfId="0" applyFont="1" applyBorder="1"/>
    <xf numFmtId="164" fontId="0" fillId="0" borderId="0" xfId="0" applyNumberFormat="1" applyBorder="1"/>
    <xf numFmtId="0" fontId="0" fillId="0" borderId="30" xfId="0" applyBorder="1"/>
    <xf numFmtId="0" fontId="0" fillId="0" borderId="30" xfId="0" applyFill="1" applyBorder="1"/>
    <xf numFmtId="10" fontId="0" fillId="0" borderId="31" xfId="0" applyNumberFormat="1" applyBorder="1"/>
    <xf numFmtId="164" fontId="0" fillId="0" borderId="31" xfId="0" applyNumberFormat="1" applyBorder="1"/>
    <xf numFmtId="0" fontId="7" fillId="0" borderId="28" xfId="0" applyFont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7" fillId="0" borderId="18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6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28" xfId="0" applyFont="1" applyBorder="1" applyAlignment="1">
      <alignment horizontal="left"/>
    </xf>
    <xf numFmtId="0" fontId="2" fillId="0" borderId="28" xfId="0" applyFont="1" applyFill="1" applyBorder="1" applyAlignment="1">
      <alignment horizontal="left"/>
    </xf>
    <xf numFmtId="0" fontId="6" fillId="0" borderId="13" xfId="0" applyFont="1" applyBorder="1" applyAlignment="1">
      <alignment vertical="center" wrapText="1"/>
    </xf>
    <xf numFmtId="0" fontId="3" fillId="0" borderId="12" xfId="0" applyFont="1" applyBorder="1"/>
    <xf numFmtId="0" fontId="3" fillId="0" borderId="24" xfId="0" applyFont="1" applyBorder="1" applyAlignment="1">
      <alignment wrapText="1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18" xfId="0" applyNumberFormat="1" applyBorder="1" applyAlignment="1">
      <alignment horizontal="center"/>
    </xf>
    <xf numFmtId="0" fontId="0" fillId="0" borderId="29" xfId="0" applyBorder="1"/>
    <xf numFmtId="0" fontId="0" fillId="0" borderId="2" xfId="0" applyBorder="1"/>
    <xf numFmtId="0" fontId="3" fillId="0" borderId="25" xfId="0" applyFont="1" applyBorder="1" applyAlignment="1">
      <alignment wrapText="1"/>
    </xf>
    <xf numFmtId="0" fontId="6" fillId="0" borderId="23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3" fillId="0" borderId="20" xfId="0" applyFont="1" applyBorder="1" applyAlignment="1">
      <alignment wrapText="1"/>
    </xf>
    <xf numFmtId="0" fontId="0" fillId="0" borderId="20" xfId="0" applyBorder="1" applyAlignment="1">
      <alignment horizontal="center"/>
    </xf>
    <xf numFmtId="10" fontId="0" fillId="0" borderId="20" xfId="0" applyNumberFormat="1" applyBorder="1" applyAlignment="1">
      <alignment horizontal="center"/>
    </xf>
    <xf numFmtId="0" fontId="0" fillId="0" borderId="34" xfId="0" applyBorder="1"/>
    <xf numFmtId="0" fontId="7" fillId="0" borderId="1" xfId="0" applyFont="1" applyBorder="1" applyAlignment="1">
      <alignment wrapText="1"/>
    </xf>
  </cellXfs>
  <cellStyles count="2">
    <cellStyle name="20% - Accent1" xfId="1" builtinId="30"/>
    <cellStyle name="Normal" xfId="0" builtinId="0"/>
  </cellStyles>
  <dxfs count="47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9B3C35"/>
      <color rgb="FFFF00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10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0" Type="http://schemas.openxmlformats.org/officeDocument/2006/relationships/pivotCacheDefinition" Target="pivotCache/pivotCacheDefinition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19" Type="http://schemas.openxmlformats.org/officeDocument/2006/relationships/pivotCacheDefinition" Target="pivotCache/pivotCacheDefinition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[milestoneTemplate.xlsx]Milestone 02-11-2020!PivotTable6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4.7631221238588123E-2"/>
          <c:y val="2.6757072032662588E-2"/>
          <c:w val="0.69027942128702846"/>
          <c:h val="0.57123286672499274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'Milestone 02-11-2020'!$U$5:$U$6</c:f>
              <c:strCache>
                <c:ptCount val="1"/>
                <c:pt idx="0">
                  <c:v>Asset disposal form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'Milestone 02-11-2020'!$T$7:$T$12</c:f>
              <c:strCache>
                <c:ptCount val="5"/>
                <c:pt idx="0">
                  <c:v>Analysis</c:v>
                </c:pt>
                <c:pt idx="1">
                  <c:v>Development</c:v>
                </c:pt>
                <c:pt idx="2">
                  <c:v>IAT</c:v>
                </c:pt>
                <c:pt idx="3">
                  <c:v>Sanity</c:v>
                </c:pt>
                <c:pt idx="4">
                  <c:v>SIT/UAT</c:v>
                </c:pt>
              </c:strCache>
            </c:strRef>
          </c:cat>
          <c:val>
            <c:numRef>
              <c:f>'Milestone 02-11-2020'!$U$7:$U$12</c:f>
              <c:numCache>
                <c:formatCode>General</c:formatCode>
                <c:ptCount val="5"/>
                <c:pt idx="0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C-4F5C-BE84-F8416AE7DCCD}"/>
            </c:ext>
          </c:extLst>
        </c:ser>
        <c:ser>
          <c:idx val="1"/>
          <c:order val="1"/>
          <c:tx>
            <c:strRef>
              <c:f>'Milestone 02-11-2020'!$V$5:$V$6</c:f>
              <c:strCache>
                <c:ptCount val="1"/>
                <c:pt idx="0">
                  <c:v>CPG 2.0 drop 2 – Sprint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'Milestone 02-11-2020'!$T$7:$T$12</c:f>
              <c:strCache>
                <c:ptCount val="5"/>
                <c:pt idx="0">
                  <c:v>Analysis</c:v>
                </c:pt>
                <c:pt idx="1">
                  <c:v>Development</c:v>
                </c:pt>
                <c:pt idx="2">
                  <c:v>IAT</c:v>
                </c:pt>
                <c:pt idx="3">
                  <c:v>Sanity</c:v>
                </c:pt>
                <c:pt idx="4">
                  <c:v>SIT/UAT</c:v>
                </c:pt>
              </c:strCache>
            </c:strRef>
          </c:cat>
          <c:val>
            <c:numRef>
              <c:f>'Milestone 02-11-2020'!$V$7:$V$12</c:f>
              <c:numCache>
                <c:formatCode>General</c:formatCode>
                <c:ptCount val="5"/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9C-4F5C-BE84-F8416AE7DCCD}"/>
            </c:ext>
          </c:extLst>
        </c:ser>
        <c:ser>
          <c:idx val="2"/>
          <c:order val="2"/>
          <c:tx>
            <c:strRef>
              <c:f>'Milestone 02-11-2020'!$W$5:$W$6</c:f>
              <c:strCache>
                <c:ptCount val="1"/>
                <c:pt idx="0">
                  <c:v>CPG 2.0 drop 2 –sprint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'Milestone 02-11-2020'!$T$7:$T$12</c:f>
              <c:strCache>
                <c:ptCount val="5"/>
                <c:pt idx="0">
                  <c:v>Analysis</c:v>
                </c:pt>
                <c:pt idx="1">
                  <c:v>Development</c:v>
                </c:pt>
                <c:pt idx="2">
                  <c:v>IAT</c:v>
                </c:pt>
                <c:pt idx="3">
                  <c:v>Sanity</c:v>
                </c:pt>
                <c:pt idx="4">
                  <c:v>SIT/UAT</c:v>
                </c:pt>
              </c:strCache>
            </c:strRef>
          </c:cat>
          <c:val>
            <c:numRef>
              <c:f>'Milestone 02-11-2020'!$W$7:$W$12</c:f>
              <c:numCache>
                <c:formatCode>General</c:formatCode>
                <c:ptCount val="5"/>
                <c:pt idx="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9C-4F5C-BE84-F8416AE7DCCD}"/>
            </c:ext>
          </c:extLst>
        </c:ser>
        <c:ser>
          <c:idx val="3"/>
          <c:order val="3"/>
          <c:tx>
            <c:strRef>
              <c:f>'Milestone 02-11-2020'!$X$5:$X$6</c:f>
              <c:strCache>
                <c:ptCount val="1"/>
                <c:pt idx="0">
                  <c:v>CPG 2.0 Phase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'Milestone 02-11-2020'!$T$7:$T$12</c:f>
              <c:strCache>
                <c:ptCount val="5"/>
                <c:pt idx="0">
                  <c:v>Analysis</c:v>
                </c:pt>
                <c:pt idx="1">
                  <c:v>Development</c:v>
                </c:pt>
                <c:pt idx="2">
                  <c:v>IAT</c:v>
                </c:pt>
                <c:pt idx="3">
                  <c:v>Sanity</c:v>
                </c:pt>
                <c:pt idx="4">
                  <c:v>SIT/UAT</c:v>
                </c:pt>
              </c:strCache>
            </c:strRef>
          </c:cat>
          <c:val>
            <c:numRef>
              <c:f>'Milestone 02-11-2020'!$X$7:$X$12</c:f>
              <c:numCache>
                <c:formatCode>General</c:formatCode>
                <c:ptCount val="5"/>
                <c:pt idx="3">
                  <c:v>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9C-4F5C-BE84-F8416AE7DCCD}"/>
            </c:ext>
          </c:extLst>
        </c:ser>
        <c:ser>
          <c:idx val="4"/>
          <c:order val="4"/>
          <c:tx>
            <c:strRef>
              <c:f>'Milestone 02-11-2020'!$Y$5:$Y$6</c:f>
              <c:strCache>
                <c:ptCount val="1"/>
                <c:pt idx="0">
                  <c:v>CSI portal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'Milestone 02-11-2020'!$T$7:$T$12</c:f>
              <c:strCache>
                <c:ptCount val="5"/>
                <c:pt idx="0">
                  <c:v>Analysis</c:v>
                </c:pt>
                <c:pt idx="1">
                  <c:v>Development</c:v>
                </c:pt>
                <c:pt idx="2">
                  <c:v>IAT</c:v>
                </c:pt>
                <c:pt idx="3">
                  <c:v>Sanity</c:v>
                </c:pt>
                <c:pt idx="4">
                  <c:v>SIT/UAT</c:v>
                </c:pt>
              </c:strCache>
            </c:strRef>
          </c:cat>
          <c:val>
            <c:numRef>
              <c:f>'Milestone 02-11-2020'!$Y$7:$Y$12</c:f>
              <c:numCache>
                <c:formatCode>General</c:formatCode>
                <c:ptCount val="5"/>
                <c:pt idx="1">
                  <c:v>-3.6363636363636362E-2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9C-4F5C-BE84-F8416AE7DCCD}"/>
            </c:ext>
          </c:extLst>
        </c:ser>
        <c:ser>
          <c:idx val="5"/>
          <c:order val="5"/>
          <c:tx>
            <c:strRef>
              <c:f>'Milestone 02-11-2020'!$Z$5:$Z$6</c:f>
              <c:strCache>
                <c:ptCount val="1"/>
                <c:pt idx="0">
                  <c:v>DM 360 (Reports Migration)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'Milestone 02-11-2020'!$T$7:$T$12</c:f>
              <c:strCache>
                <c:ptCount val="5"/>
                <c:pt idx="0">
                  <c:v>Analysis</c:v>
                </c:pt>
                <c:pt idx="1">
                  <c:v>Development</c:v>
                </c:pt>
                <c:pt idx="2">
                  <c:v>IAT</c:v>
                </c:pt>
                <c:pt idx="3">
                  <c:v>Sanity</c:v>
                </c:pt>
                <c:pt idx="4">
                  <c:v>SIT/UAT</c:v>
                </c:pt>
              </c:strCache>
            </c:strRef>
          </c:cat>
          <c:val>
            <c:numRef>
              <c:f>'Milestone 02-11-2020'!$Z$7:$Z$12</c:f>
              <c:numCache>
                <c:formatCode>General</c:formatCode>
                <c:ptCount val="5"/>
                <c:pt idx="3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9C-4F5C-BE84-F8416AE7DCCD}"/>
            </c:ext>
          </c:extLst>
        </c:ser>
        <c:ser>
          <c:idx val="6"/>
          <c:order val="6"/>
          <c:tx>
            <c:strRef>
              <c:f>'Milestone 02-11-2020'!$AA$5:$AA$6</c:f>
              <c:strCache>
                <c:ptCount val="1"/>
                <c:pt idx="0">
                  <c:v>E-ballot CR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'Milestone 02-11-2020'!$T$7:$T$12</c:f>
              <c:strCache>
                <c:ptCount val="5"/>
                <c:pt idx="0">
                  <c:v>Analysis</c:v>
                </c:pt>
                <c:pt idx="1">
                  <c:v>Development</c:v>
                </c:pt>
                <c:pt idx="2">
                  <c:v>IAT</c:v>
                </c:pt>
                <c:pt idx="3">
                  <c:v>Sanity</c:v>
                </c:pt>
                <c:pt idx="4">
                  <c:v>SIT/UAT</c:v>
                </c:pt>
              </c:strCache>
            </c:strRef>
          </c:cat>
          <c:val>
            <c:numRef>
              <c:f>'Milestone 02-11-2020'!$AA$7:$AA$12</c:f>
              <c:numCache>
                <c:formatCode>General</c:formatCode>
                <c:ptCount val="5"/>
                <c:pt idx="1">
                  <c:v>-0.51666666666666672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9C-4F5C-BE84-F8416AE7DCCD}"/>
            </c:ext>
          </c:extLst>
        </c:ser>
        <c:ser>
          <c:idx val="7"/>
          <c:order val="7"/>
          <c:tx>
            <c:strRef>
              <c:f>'Milestone 02-11-2020'!$AB$5:$AB$6</c:f>
              <c:strCache>
                <c:ptCount val="1"/>
                <c:pt idx="0">
                  <c:v>E-Test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'Milestone 02-11-2020'!$T$7:$T$12</c:f>
              <c:strCache>
                <c:ptCount val="5"/>
                <c:pt idx="0">
                  <c:v>Analysis</c:v>
                </c:pt>
                <c:pt idx="1">
                  <c:v>Development</c:v>
                </c:pt>
                <c:pt idx="2">
                  <c:v>IAT</c:v>
                </c:pt>
                <c:pt idx="3">
                  <c:v>Sanity</c:v>
                </c:pt>
                <c:pt idx="4">
                  <c:v>SIT/UAT</c:v>
                </c:pt>
              </c:strCache>
            </c:strRef>
          </c:cat>
          <c:val>
            <c:numRef>
              <c:f>'Milestone 02-11-2020'!$AB$7:$AB$12</c:f>
              <c:numCache>
                <c:formatCode>General</c:formatCode>
                <c:ptCount val="5"/>
                <c:pt idx="3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9C-4F5C-BE84-F8416AE7DCCD}"/>
            </c:ext>
          </c:extLst>
        </c:ser>
        <c:ser>
          <c:idx val="8"/>
          <c:order val="8"/>
          <c:tx>
            <c:strRef>
              <c:f>'Milestone 02-11-2020'!$AC$5:$AC$6</c:f>
              <c:strCache>
                <c:ptCount val="1"/>
                <c:pt idx="0">
                  <c:v>Online health Declaration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'Milestone 02-11-2020'!$T$7:$T$12</c:f>
              <c:strCache>
                <c:ptCount val="5"/>
                <c:pt idx="0">
                  <c:v>Analysis</c:v>
                </c:pt>
                <c:pt idx="1">
                  <c:v>Development</c:v>
                </c:pt>
                <c:pt idx="2">
                  <c:v>IAT</c:v>
                </c:pt>
                <c:pt idx="3">
                  <c:v>Sanity</c:v>
                </c:pt>
                <c:pt idx="4">
                  <c:v>SIT/UAT</c:v>
                </c:pt>
              </c:strCache>
            </c:strRef>
          </c:cat>
          <c:val>
            <c:numRef>
              <c:f>'Milestone 02-11-2020'!$AC$7:$AC$12</c:f>
              <c:numCache>
                <c:formatCode>General</c:formatCode>
                <c:ptCount val="5"/>
                <c:pt idx="1">
                  <c:v>-0.1111111111111111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9C-4F5C-BE84-F8416AE7DCCD}"/>
            </c:ext>
          </c:extLst>
        </c:ser>
        <c:ser>
          <c:idx val="9"/>
          <c:order val="9"/>
          <c:tx>
            <c:strRef>
              <c:f>'Milestone 02-11-2020'!$AD$5:$AD$6</c:f>
              <c:strCache>
                <c:ptCount val="1"/>
                <c:pt idx="0">
                  <c:v>Share UI Revamp – Drop 1 (Div/Dept Pages)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'Milestone 02-11-2020'!$T$7:$T$12</c:f>
              <c:strCache>
                <c:ptCount val="5"/>
                <c:pt idx="0">
                  <c:v>Analysis</c:v>
                </c:pt>
                <c:pt idx="1">
                  <c:v>Development</c:v>
                </c:pt>
                <c:pt idx="2">
                  <c:v>IAT</c:v>
                </c:pt>
                <c:pt idx="3">
                  <c:v>Sanity</c:v>
                </c:pt>
                <c:pt idx="4">
                  <c:v>SIT/UAT</c:v>
                </c:pt>
              </c:strCache>
            </c:strRef>
          </c:cat>
          <c:val>
            <c:numRef>
              <c:f>'Milestone 02-11-2020'!$AD$7:$AD$12</c:f>
              <c:numCache>
                <c:formatCode>General</c:formatCode>
                <c:ptCount val="5"/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D9C-4F5C-BE84-F8416AE7DCCD}"/>
            </c:ext>
          </c:extLst>
        </c:ser>
        <c:ser>
          <c:idx val="10"/>
          <c:order val="10"/>
          <c:tx>
            <c:strRef>
              <c:f>'Milestone 02-11-2020'!$AE$5:$AE$6</c:f>
              <c:strCache>
                <c:ptCount val="1"/>
                <c:pt idx="0">
                  <c:v>Share UI Revamp – Drop 2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'Milestone 02-11-2020'!$T$7:$T$12</c:f>
              <c:strCache>
                <c:ptCount val="5"/>
                <c:pt idx="0">
                  <c:v>Analysis</c:v>
                </c:pt>
                <c:pt idx="1">
                  <c:v>Development</c:v>
                </c:pt>
                <c:pt idx="2">
                  <c:v>IAT</c:v>
                </c:pt>
                <c:pt idx="3">
                  <c:v>Sanity</c:v>
                </c:pt>
                <c:pt idx="4">
                  <c:v>SIT/UAT</c:v>
                </c:pt>
              </c:strCache>
            </c:strRef>
          </c:cat>
          <c:val>
            <c:numRef>
              <c:f>'Milestone 02-11-2020'!$AE$7:$AE$12</c:f>
              <c:numCache>
                <c:formatCode>General</c:formatCode>
                <c:ptCount val="5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9C-4F5C-BE84-F8416AE7DCCD}"/>
            </c:ext>
          </c:extLst>
        </c:ser>
        <c:ser>
          <c:idx val="11"/>
          <c:order val="11"/>
          <c:tx>
            <c:strRef>
              <c:f>'Milestone 02-11-2020'!$AF$5:$AF$6</c:f>
              <c:strCache>
                <c:ptCount val="1"/>
                <c:pt idx="0">
                  <c:v>Share UI Revamp – Drop 2 (Div/Dept Pages)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'Milestone 02-11-2020'!$T$7:$T$12</c:f>
              <c:strCache>
                <c:ptCount val="5"/>
                <c:pt idx="0">
                  <c:v>Analysis</c:v>
                </c:pt>
                <c:pt idx="1">
                  <c:v>Development</c:v>
                </c:pt>
                <c:pt idx="2">
                  <c:v>IAT</c:v>
                </c:pt>
                <c:pt idx="3">
                  <c:v>Sanity</c:v>
                </c:pt>
                <c:pt idx="4">
                  <c:v>SIT/UAT</c:v>
                </c:pt>
              </c:strCache>
            </c:strRef>
          </c:cat>
          <c:val>
            <c:numRef>
              <c:f>'Milestone 02-11-2020'!$AF$7:$AF$12</c:f>
              <c:numCache>
                <c:formatCode>General</c:formatCode>
                <c:ptCount val="5"/>
                <c:pt idx="2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D9C-4F5C-BE84-F8416AE7DCCD}"/>
            </c:ext>
          </c:extLst>
        </c:ser>
        <c:ser>
          <c:idx val="12"/>
          <c:order val="12"/>
          <c:tx>
            <c:strRef>
              <c:f>'Milestone 02-11-2020'!$AG$5:$AG$6</c:f>
              <c:strCache>
                <c:ptCount val="1"/>
                <c:pt idx="0">
                  <c:v>TSS CR – Medical Flow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'Milestone 02-11-2020'!$T$7:$T$12</c:f>
              <c:strCache>
                <c:ptCount val="5"/>
                <c:pt idx="0">
                  <c:v>Analysis</c:v>
                </c:pt>
                <c:pt idx="1">
                  <c:v>Development</c:v>
                </c:pt>
                <c:pt idx="2">
                  <c:v>IAT</c:v>
                </c:pt>
                <c:pt idx="3">
                  <c:v>Sanity</c:v>
                </c:pt>
                <c:pt idx="4">
                  <c:v>SIT/UAT</c:v>
                </c:pt>
              </c:strCache>
            </c:strRef>
          </c:cat>
          <c:val>
            <c:numRef>
              <c:f>'Milestone 02-11-2020'!$AG$7:$AG$12</c:f>
              <c:numCache>
                <c:formatCode>General</c:formatCode>
                <c:ptCount val="5"/>
                <c:pt idx="4">
                  <c:v>1.0638297872340425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D9C-4F5C-BE84-F8416AE7DCCD}"/>
            </c:ext>
          </c:extLst>
        </c:ser>
        <c:ser>
          <c:idx val="13"/>
          <c:order val="13"/>
          <c:tx>
            <c:strRef>
              <c:f>'Milestone 02-11-2020'!$AH$5:$AH$6</c:f>
              <c:strCache>
                <c:ptCount val="1"/>
                <c:pt idx="0">
                  <c:v>YelloDoc CR – Sprint 2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'Milestone 02-11-2020'!$T$7:$T$12</c:f>
              <c:strCache>
                <c:ptCount val="5"/>
                <c:pt idx="0">
                  <c:v>Analysis</c:v>
                </c:pt>
                <c:pt idx="1">
                  <c:v>Development</c:v>
                </c:pt>
                <c:pt idx="2">
                  <c:v>IAT</c:v>
                </c:pt>
                <c:pt idx="3">
                  <c:v>Sanity</c:v>
                </c:pt>
                <c:pt idx="4">
                  <c:v>SIT/UAT</c:v>
                </c:pt>
              </c:strCache>
            </c:strRef>
          </c:cat>
          <c:val>
            <c:numRef>
              <c:f>'Milestone 02-11-2020'!$AH$7:$AH$12</c:f>
              <c:numCache>
                <c:formatCode>General</c:formatCode>
                <c:ptCount val="5"/>
                <c:pt idx="1">
                  <c:v>1.2380952380952381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D9C-4F5C-BE84-F8416AE7D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80612639"/>
        <c:axId val="1580610975"/>
      </c:barChart>
      <c:catAx>
        <c:axId val="158061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10975"/>
        <c:crosses val="autoZero"/>
        <c:auto val="1"/>
        <c:lblAlgn val="ctr"/>
        <c:lblOffset val="100"/>
        <c:noMultiLvlLbl val="0"/>
      </c:catAx>
      <c:valAx>
        <c:axId val="158061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1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07292238187741"/>
          <c:y val="3.6097987751531058E-2"/>
          <c:w val="0.17420486281022779"/>
          <c:h val="0.92317403032954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28576</xdr:colOff>
      <xdr:row>3</xdr:row>
      <xdr:rowOff>195261</xdr:rowOff>
    </xdr:from>
    <xdr:to>
      <xdr:col>25</xdr:col>
      <xdr:colOff>76200</xdr:colOff>
      <xdr:row>13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476250</xdr:colOff>
      <xdr:row>16</xdr:row>
      <xdr:rowOff>523875</xdr:rowOff>
    </xdr:from>
    <xdr:to>
      <xdr:col>21</xdr:col>
      <xdr:colOff>918625</xdr:colOff>
      <xdr:row>24</xdr:row>
      <xdr:rowOff>1145906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44750" y="5419725"/>
          <a:ext cx="4785775" cy="2755631"/>
        </a:xfrm>
        <a:prstGeom prst="rect">
          <a:avLst/>
        </a:prstGeom>
      </xdr:spPr>
    </xdr:pic>
    <xdr:clientData/>
  </xdr:twoCellAnchor>
  <xdr:twoCellAnchor editAs="oneCell">
    <xdr:from>
      <xdr:col>17</xdr:col>
      <xdr:colOff>344928</xdr:colOff>
      <xdr:row>5</xdr:row>
      <xdr:rowOff>180975</xdr:rowOff>
    </xdr:from>
    <xdr:to>
      <xdr:col>22</xdr:col>
      <xdr:colOff>161925</xdr:colOff>
      <xdr:row>16</xdr:row>
      <xdr:rowOff>325420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9347"/>
        <a:stretch/>
      </xdr:blipFill>
      <xdr:spPr>
        <a:xfrm>
          <a:off x="15013428" y="1171575"/>
          <a:ext cx="5674872" cy="40496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486919</xdr:colOff>
      <xdr:row>2</xdr:row>
      <xdr:rowOff>200024</xdr:rowOff>
    </xdr:from>
    <xdr:to>
      <xdr:col>21</xdr:col>
      <xdr:colOff>1476375</xdr:colOff>
      <xdr:row>16</xdr:row>
      <xdr:rowOff>75244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55419" y="590549"/>
          <a:ext cx="5332856" cy="3618545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16</xdr:row>
      <xdr:rowOff>133350</xdr:rowOff>
    </xdr:from>
    <xdr:to>
      <xdr:col>21</xdr:col>
      <xdr:colOff>1247775</xdr:colOff>
      <xdr:row>25</xdr:row>
      <xdr:rowOff>1099847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25700" y="4267200"/>
          <a:ext cx="5133975" cy="36715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276225</xdr:colOff>
      <xdr:row>6</xdr:row>
      <xdr:rowOff>47625</xdr:rowOff>
    </xdr:from>
    <xdr:to>
      <xdr:col>22</xdr:col>
      <xdr:colOff>142990</xdr:colOff>
      <xdr:row>15</xdr:row>
      <xdr:rowOff>50531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44725" y="1238250"/>
          <a:ext cx="5724640" cy="2755631"/>
        </a:xfrm>
        <a:prstGeom prst="rect">
          <a:avLst/>
        </a:prstGeom>
      </xdr:spPr>
    </xdr:pic>
    <xdr:clientData/>
  </xdr:twoCellAnchor>
  <xdr:twoCellAnchor editAs="oneCell">
    <xdr:from>
      <xdr:col>17</xdr:col>
      <xdr:colOff>247650</xdr:colOff>
      <xdr:row>15</xdr:row>
      <xdr:rowOff>238125</xdr:rowOff>
    </xdr:from>
    <xdr:to>
      <xdr:col>21</xdr:col>
      <xdr:colOff>488839</xdr:colOff>
      <xdr:row>25</xdr:row>
      <xdr:rowOff>98156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16150" y="4181475"/>
          <a:ext cx="4584589" cy="275563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390525</xdr:colOff>
      <xdr:row>7</xdr:row>
      <xdr:rowOff>19050</xdr:rowOff>
    </xdr:from>
    <xdr:to>
      <xdr:col>22</xdr:col>
      <xdr:colOff>440186</xdr:colOff>
      <xdr:row>14</xdr:row>
      <xdr:rowOff>34909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59025" y="1409700"/>
          <a:ext cx="5907536" cy="2749534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15</xdr:row>
      <xdr:rowOff>66675</xdr:rowOff>
    </xdr:from>
    <xdr:to>
      <xdr:col>21</xdr:col>
      <xdr:colOff>641239</xdr:colOff>
      <xdr:row>24</xdr:row>
      <xdr:rowOff>688706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68550" y="4391025"/>
          <a:ext cx="4584589" cy="275563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lufunmilayo Ogunjobi" refreshedDate="44116.380475925929" createdVersion="6" refreshedVersion="6" minRefreshableVersion="3" recordCount="5">
  <cacheSource type="worksheet">
    <worksheetSource ref="C7:K12" sheet="Milestone 12-10-2020"/>
  </cacheSource>
  <cacheFields count="9">
    <cacheField name="Project" numFmtId="0">
      <sharedItems/>
    </cacheField>
    <cacheField name="Planned Duration" numFmtId="0">
      <sharedItems containsSemiMixedTypes="0" containsString="0" containsNumber="1" containsInteger="1" minValue="5" maxValue="24"/>
    </cacheField>
    <cacheField name="Duration to Date" numFmtId="0">
      <sharedItems containsSemiMixedTypes="0" containsString="0" containsNumber="1" containsInteger="1" minValue="3" maxValue="43"/>
    </cacheField>
    <cacheField name="Actual Duration" numFmtId="0">
      <sharedItems containsNonDate="0" containsString="0" containsBlank="1"/>
    </cacheField>
    <cacheField name="To Date" numFmtId="0">
      <sharedItems containsSemiMixedTypes="0" containsString="0" containsNumber="1" containsInteger="1" minValue="-2" maxValue="36"/>
    </cacheField>
    <cacheField name="Actual" numFmtId="0">
      <sharedItems containsNonDate="0" containsString="0" containsBlank="1"/>
    </cacheField>
    <cacheField name="To Date2" numFmtId="164">
      <sharedItems containsSemiMixedTypes="0" containsString="0" containsNumber="1" minValue="-0.4" maxValue="5.1428571428571432"/>
    </cacheField>
    <cacheField name="Actual2" numFmtId="0">
      <sharedItems containsNonDate="0" containsString="0" containsBlank="1"/>
    </cacheField>
    <cacheField name="RAG Status" numFmtId="0">
      <sharedItems count="3">
        <s v="Red"/>
        <s v="Amber"/>
        <s v="Gre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Olufunmilayo Ogunjobi" refreshedDate="44116.390067939814" createdVersion="6" refreshedVersion="6" minRefreshableVersion="3" recordCount="6">
  <cacheSource type="worksheet">
    <worksheetSource ref="C20:K26" sheet="Milestone 12-10-2020"/>
  </cacheSource>
  <cacheFields count="9">
    <cacheField name="Project" numFmtId="0">
      <sharedItems/>
    </cacheField>
    <cacheField name="Planned Duration" numFmtId="0">
      <sharedItems containsString="0" containsBlank="1" containsNumber="1" containsInteger="1" minValue="11" maxValue="60"/>
    </cacheField>
    <cacheField name="Duration to Date" numFmtId="0">
      <sharedItems containsString="0" containsBlank="1" containsNumber="1" containsInteger="1" minValue="6" maxValue="35"/>
    </cacheField>
    <cacheField name="Actual Duration" numFmtId="0">
      <sharedItems containsNonDate="0" containsString="0" containsBlank="1"/>
    </cacheField>
    <cacheField name="To Date" numFmtId="0">
      <sharedItems containsSemiMixedTypes="0" containsString="0" containsNumber="1" containsInteger="1" minValue="-46" maxValue="11"/>
    </cacheField>
    <cacheField name="Actual" numFmtId="0">
      <sharedItems containsNonDate="0" containsString="0" containsBlank="1"/>
    </cacheField>
    <cacheField name="To Date2" numFmtId="10">
      <sharedItems containsMixedTypes="1" containsNumber="1" minValue="-0.76666666666666672" maxValue="0.52380952380952384"/>
    </cacheField>
    <cacheField name="Actual2" numFmtId="0">
      <sharedItems containsNonDate="0" containsString="0" containsBlank="1"/>
    </cacheField>
    <cacheField name="RAG Status" numFmtId="0">
      <sharedItems containsBlank="1" count="3">
        <s v="Green"/>
        <s v="Amb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Olufunmilayo Ogunjobi" refreshedDate="44116.391254745373" createdVersion="6" refreshedVersion="6" minRefreshableVersion="3" recordCount="3">
  <cacheSource type="worksheet">
    <worksheetSource ref="C46:K49" sheet="Milestone 12-10-2020"/>
  </cacheSource>
  <cacheFields count="9">
    <cacheField name="Project" numFmtId="0">
      <sharedItems/>
    </cacheField>
    <cacheField name="Planned Duration" numFmtId="0">
      <sharedItems containsSemiMixedTypes="0" containsString="0" containsNumber="1" containsInteger="1" minValue="10" maxValue="47"/>
    </cacheField>
    <cacheField name="Duration to Date" numFmtId="0">
      <sharedItems containsSemiMixedTypes="0" containsString="0" containsNumber="1" containsInteger="1" minValue="25" maxValue="82"/>
    </cacheField>
    <cacheField name="Actual Duration" numFmtId="0">
      <sharedItems containsNonDate="0" containsString="0" containsBlank="1"/>
    </cacheField>
    <cacheField name="To Date" numFmtId="0">
      <sharedItems containsSemiMixedTypes="0" containsString="0" containsNumber="1" containsInteger="1" minValue="0" maxValue="35"/>
    </cacheField>
    <cacheField name="Actual" numFmtId="0">
      <sharedItems containsNonDate="0" containsString="0" containsBlank="1"/>
    </cacheField>
    <cacheField name="To Date2" numFmtId="164">
      <sharedItems containsSemiMixedTypes="0" containsString="0" containsNumber="1" minValue="0" maxValue="1.5"/>
    </cacheField>
    <cacheField name="Actual2" numFmtId="0">
      <sharedItems containsNonDate="0" containsString="0" containsBlank="1"/>
    </cacheField>
    <cacheField name="RAG Status" numFmtId="0">
      <sharedItems count="3">
        <s v="Red"/>
        <s v="Amber"/>
        <s v="Gre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Olufunmilayo Ogunjobi" refreshedDate="44116.392423148151" createdVersion="6" refreshedVersion="6" minRefreshableVersion="3" recordCount="3">
  <cacheSource type="worksheet">
    <worksheetSource ref="C60:K63" sheet="Milestone 12-10-2020"/>
  </cacheSource>
  <cacheFields count="9">
    <cacheField name="Project" numFmtId="0">
      <sharedItems/>
    </cacheField>
    <cacheField name="Planned Duration" numFmtId="0">
      <sharedItems containsSemiMixedTypes="0" containsString="0" containsNumber="1" containsInteger="1" minValue="8" maxValue="10"/>
    </cacheField>
    <cacheField name="Duration to Date" numFmtId="0">
      <sharedItems containsSemiMixedTypes="0" containsString="0" containsNumber="1" containsInteger="1" minValue="20" maxValue="149"/>
    </cacheField>
    <cacheField name="Actual Duration" numFmtId="0">
      <sharedItems containsNonDate="0" containsString="0" containsBlank="1"/>
    </cacheField>
    <cacheField name="To Date" numFmtId="0">
      <sharedItems containsSemiMixedTypes="0" containsString="0" containsNumber="1" containsInteger="1" minValue="12" maxValue="139"/>
    </cacheField>
    <cacheField name="Actual" numFmtId="0">
      <sharedItems containsNonDate="0" containsString="0" containsBlank="1"/>
    </cacheField>
    <cacheField name="To Date2" numFmtId="164">
      <sharedItems containsSemiMixedTypes="0" containsString="0" containsNumber="1" minValue="1.5" maxValue="13.9"/>
    </cacheField>
    <cacheField name="Actual2" numFmtId="0">
      <sharedItems containsNonDate="0" containsString="0" containsBlank="1"/>
    </cacheField>
    <cacheField name="RAG Status" numFmtId="0">
      <sharedItems count="1">
        <s v="R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Olufunmilayo Ogunjobi" refreshedDate="44123.367950231484" createdVersion="6" refreshedVersion="6" minRefreshableVersion="3" recordCount="5">
  <cacheSource type="worksheet">
    <worksheetSource ref="B7:L12" sheet="Milestone 19-10-2020"/>
  </cacheSource>
  <cacheFields count="11">
    <cacheField name="S/N" numFmtId="0">
      <sharedItems containsSemiMixedTypes="0" containsString="0" containsNumber="1" containsInteger="1" minValue="1" maxValue="5"/>
    </cacheField>
    <cacheField name="Project" numFmtId="0">
      <sharedItems count="5">
        <s v="Virtual BTF"/>
        <s v="CPG 2.0 drop 2 –sprint 2"/>
        <s v="Electronic Asset Movement Form (EMAF)"/>
        <s v="9 Mobile Sim Swap CR - Phase 2"/>
        <s v="Asset disposal form"/>
      </sharedItems>
    </cacheField>
    <cacheField name="Planned Duration" numFmtId="0">
      <sharedItems containsSemiMixedTypes="0" containsString="0" containsNumber="1" containsInteger="1" minValue="5" maxValue="24"/>
    </cacheField>
    <cacheField name="Duration to Date" numFmtId="0">
      <sharedItems containsSemiMixedTypes="0" containsString="0" containsNumber="1" containsInteger="1" minValue="8" maxValue="48"/>
    </cacheField>
    <cacheField name="Actual Duration" numFmtId="0">
      <sharedItems containsNonDate="0" containsString="0" containsBlank="1"/>
    </cacheField>
    <cacheField name="To Date" numFmtId="0">
      <sharedItems containsSemiMixedTypes="0" containsString="0" containsNumber="1" containsInteger="1" minValue="3" maxValue="41"/>
    </cacheField>
    <cacheField name="Actual" numFmtId="0">
      <sharedItems containsNonDate="0" containsString="0" containsBlank="1"/>
    </cacheField>
    <cacheField name="To Date2" numFmtId="164">
      <sharedItems containsSemiMixedTypes="0" containsString="0" containsNumber="1" minValue="0.6" maxValue="5.8571428571428568"/>
    </cacheField>
    <cacheField name="Actual2" numFmtId="0">
      <sharedItems containsNonDate="0" containsString="0" containsBlank="1"/>
    </cacheField>
    <cacheField name="RAG Status" numFmtId="0">
      <sharedItems count="2">
        <s v="Red"/>
        <s v="Amber"/>
      </sharedItems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Olufunmilayo Ogunjobi" refreshedDate="44130.406408796298" createdVersion="6" refreshedVersion="6" minRefreshableVersion="3" recordCount="7">
  <cacheSource type="worksheet">
    <worksheetSource ref="B7:L14" sheet="Milestone 26-10-2020"/>
  </cacheSource>
  <cacheFields count="11">
    <cacheField name="S/N" numFmtId="0">
      <sharedItems containsSemiMixedTypes="0" containsString="0" containsNumber="1" containsInteger="1" minValue="1" maxValue="7"/>
    </cacheField>
    <cacheField name="Project" numFmtId="0">
      <sharedItems containsBlank="1"/>
    </cacheField>
    <cacheField name="Planned Duration" numFmtId="0">
      <sharedItems containsString="0" containsBlank="1" containsNumber="1" containsInteger="1" minValue="5" maxValue="24"/>
    </cacheField>
    <cacheField name="Duration to Date" numFmtId="0">
      <sharedItems containsString="0" containsBlank="1" containsNumber="1" containsInteger="1" minValue="13" maxValue="53"/>
    </cacheField>
    <cacheField name="Actual Duration" numFmtId="0">
      <sharedItems containsNonDate="0" containsString="0" containsBlank="1"/>
    </cacheField>
    <cacheField name="To Date" numFmtId="0">
      <sharedItems containsSemiMixedTypes="0" containsString="0" containsNumber="1" containsInteger="1" minValue="0" maxValue="46"/>
    </cacheField>
    <cacheField name="Actual" numFmtId="0">
      <sharedItems containsNonDate="0" containsString="0" containsBlank="1"/>
    </cacheField>
    <cacheField name="To Date2" numFmtId="164">
      <sharedItems containsMixedTypes="1" containsNumber="1" minValue="1.0416666666666667" maxValue="6.5714285714285712"/>
    </cacheField>
    <cacheField name="Actual2" numFmtId="0">
      <sharedItems containsNonDate="0" containsString="0" containsBlank="1"/>
    </cacheField>
    <cacheField name="RAG Status" numFmtId="0">
      <sharedItems containsBlank="1" count="2">
        <s v="Red"/>
        <m/>
      </sharedItems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Olufunmilayo Ogunjobi" refreshedDate="44130.407429976854" createdVersion="6" refreshedVersion="6" minRefreshableVersion="3" recordCount="6">
  <cacheSource type="worksheet">
    <worksheetSource ref="B20:L26" sheet="Milestone 26-10-2020"/>
  </cacheSource>
  <cacheFields count="11">
    <cacheField name="S/N" numFmtId="0">
      <sharedItems containsSemiMixedTypes="0" containsString="0" containsNumber="1" containsInteger="1" minValue="1" maxValue="6"/>
    </cacheField>
    <cacheField name="Project" numFmtId="0">
      <sharedItems/>
    </cacheField>
    <cacheField name="Planned Duration" numFmtId="0">
      <sharedItems containsString="0" containsBlank="1" containsNumber="1" containsInteger="1" minValue="11" maxValue="60"/>
    </cacheField>
    <cacheField name="Duration to Date" numFmtId="0">
      <sharedItems containsString="0" containsBlank="1" containsNumber="1" containsInteger="1" minValue="11" maxValue="45"/>
    </cacheField>
    <cacheField name="Actual Duration" numFmtId="0">
      <sharedItems containsNonDate="0" containsString="0" containsBlank="1"/>
    </cacheField>
    <cacheField name="To Date" numFmtId="0">
      <sharedItems containsSemiMixedTypes="0" containsString="0" containsNumber="1" containsInteger="1" minValue="-36" maxValue="21"/>
    </cacheField>
    <cacheField name="Actual" numFmtId="0">
      <sharedItems containsNonDate="0" containsString="0" containsBlank="1"/>
    </cacheField>
    <cacheField name="To Date2" numFmtId="10">
      <sharedItems containsMixedTypes="1" containsNumber="1" minValue="-0.6" maxValue="1"/>
    </cacheField>
    <cacheField name="Actual2" numFmtId="0">
      <sharedItems containsNonDate="0" containsString="0" containsBlank="1"/>
    </cacheField>
    <cacheField name="RAG Status" numFmtId="0">
      <sharedItems containsBlank="1" count="3">
        <s v="Green"/>
        <s v="Red"/>
        <m/>
      </sharedItems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Olufunmilayo Ogunjobi" refreshedDate="44130.410028356484" createdVersion="6" refreshedVersion="6" minRefreshableVersion="3" recordCount="7">
  <cacheSource type="worksheet">
    <worksheetSource ref="B46:L53" sheet="Milestone 26-10-2020"/>
  </cacheSource>
  <cacheFields count="11">
    <cacheField name="S/N" numFmtId="0">
      <sharedItems containsSemiMixedTypes="0" containsString="0" containsNumber="1" containsInteger="1" minValue="1" maxValue="7"/>
    </cacheField>
    <cacheField name="Project" numFmtId="0">
      <sharedItems containsBlank="1"/>
    </cacheField>
    <cacheField name="Planned Duration" numFmtId="0">
      <sharedItems containsString="0" containsBlank="1" containsNumber="1" containsInteger="1" minValue="10" maxValue="47"/>
    </cacheField>
    <cacheField name="Duration to Date" numFmtId="0">
      <sharedItems containsString="0" containsBlank="1" containsNumber="1" containsInteger="1" minValue="28" maxValue="92"/>
    </cacheField>
    <cacheField name="Actual Duration" numFmtId="0">
      <sharedItems containsNonDate="0" containsString="0" containsBlank="1"/>
    </cacheField>
    <cacheField name="To Date" numFmtId="0">
      <sharedItems containsSemiMixedTypes="0" containsString="0" containsNumber="1" containsInteger="1" minValue="0" maxValue="45"/>
    </cacheField>
    <cacheField name="Actual" numFmtId="0">
      <sharedItems containsNonDate="0" containsString="0" containsBlank="1"/>
    </cacheField>
    <cacheField name="To Date2" numFmtId="164">
      <sharedItems containsMixedTypes="1" containsNumber="1" minValue="0" maxValue="2.5"/>
    </cacheField>
    <cacheField name="Actual2" numFmtId="0">
      <sharedItems containsNonDate="0" containsString="0" containsBlank="1"/>
    </cacheField>
    <cacheField name="RAG Status" numFmtId="0">
      <sharedItems containsBlank="1" count="3">
        <s v="Red"/>
        <s v="Green"/>
        <m/>
      </sharedItems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Olufunmilayo Ogunjobi" refreshedDate="44130.410778356483" createdVersion="6" refreshedVersion="6" minRefreshableVersion="3" recordCount="7">
  <cacheSource type="worksheet">
    <worksheetSource ref="B60:L67" sheet="Milestone 26-10-2020"/>
  </cacheSource>
  <cacheFields count="11">
    <cacheField name="S/N" numFmtId="0">
      <sharedItems containsSemiMixedTypes="0" containsString="0" containsNumber="1" containsInteger="1" minValue="1" maxValue="7"/>
    </cacheField>
    <cacheField name="Project" numFmtId="0">
      <sharedItems containsBlank="1"/>
    </cacheField>
    <cacheField name="Planned Duration" numFmtId="0">
      <sharedItems containsString="0" containsBlank="1" containsNumber="1" containsInteger="1" minValue="8" maxValue="10"/>
    </cacheField>
    <cacheField name="Duration to Date" numFmtId="0">
      <sharedItems containsString="0" containsBlank="1" containsNumber="1" containsInteger="1" minValue="26" maxValue="159"/>
    </cacheField>
    <cacheField name="Actual Duration" numFmtId="0">
      <sharedItems containsNonDate="0" containsString="0" containsBlank="1"/>
    </cacheField>
    <cacheField name="To Date" numFmtId="0">
      <sharedItems containsSemiMixedTypes="0" containsString="0" containsNumber="1" containsInteger="1" minValue="0" maxValue="149"/>
    </cacheField>
    <cacheField name="Actual" numFmtId="0">
      <sharedItems containsNonDate="0" containsString="0" containsBlank="1"/>
    </cacheField>
    <cacheField name="To Date2" numFmtId="164">
      <sharedItems containsMixedTypes="1" containsNumber="1" minValue="2.25" maxValue="14.9"/>
    </cacheField>
    <cacheField name="Actual2" numFmtId="0">
      <sharedItems containsNonDate="0" containsString="0" containsBlank="1"/>
    </cacheField>
    <cacheField name="RAG Status" numFmtId="0">
      <sharedItems containsBlank="1" count="2">
        <s v="Red"/>
        <m/>
      </sharedItems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Olufunmilayo Ogunjobi" refreshedDate="44130.416760995373" createdVersion="6" refreshedVersion="6" minRefreshableVersion="3" recordCount="7">
  <cacheSource type="worksheet">
    <worksheetSource ref="B33:L40" sheet="Milestone 26-10-2020"/>
  </cacheSource>
  <cacheFields count="11">
    <cacheField name="S/N" numFmtId="0">
      <sharedItems containsSemiMixedTypes="0" containsString="0" containsNumber="1" containsInteger="1" minValue="1" maxValue="7"/>
    </cacheField>
    <cacheField name="Project" numFmtId="0">
      <sharedItems containsBlank="1"/>
    </cacheField>
    <cacheField name="Planned Duration" numFmtId="0">
      <sharedItems containsString="0" containsBlank="1" containsNumber="1" containsInteger="1" minValue="25" maxValue="25"/>
    </cacheField>
    <cacheField name="Duration to Date" numFmtId="0">
      <sharedItems containsString="0" containsBlank="1" containsNumber="1" containsInteger="1" minValue="36" maxValue="36"/>
    </cacheField>
    <cacheField name="Actual Duration" numFmtId="0">
      <sharedItems containsNonDate="0" containsString="0" containsBlank="1"/>
    </cacheField>
    <cacheField name="To Date" numFmtId="0">
      <sharedItems containsSemiMixedTypes="0" containsString="0" containsNumber="1" containsInteger="1" minValue="0" maxValue="11"/>
    </cacheField>
    <cacheField name="Actual" numFmtId="0">
      <sharedItems containsNonDate="0" containsString="0" containsBlank="1"/>
    </cacheField>
    <cacheField name="To Date2" numFmtId="0">
      <sharedItems containsMixedTypes="1" containsNumber="1" minValue="0.44" maxValue="0.44"/>
    </cacheField>
    <cacheField name="Actual2" numFmtId="0">
      <sharedItems containsNonDate="0" containsString="0" containsBlank="1"/>
    </cacheField>
    <cacheField name="RAG Status" numFmtId="0">
      <sharedItems containsBlank="1" count="2">
        <s v="Amber"/>
        <m/>
      </sharedItems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r:id="rId1" refreshedBy="Olufunmilayo Ogunjobi" refreshedDate="44137.388064583334" createdVersion="6" refreshedVersion="6" minRefreshableVersion="3" recordCount="6">
  <cacheSource type="worksheet">
    <worksheetSource ref="B7:L13" sheet="Milestone 02-11-2020"/>
  </cacheSource>
  <cacheFields count="11">
    <cacheField name="S/N" numFmtId="0">
      <sharedItems containsSemiMixedTypes="0" containsString="0" containsNumber="1" containsInteger="1" minValue="1" maxValue="6"/>
    </cacheField>
    <cacheField name="Project" numFmtId="0">
      <sharedItems containsBlank="1"/>
    </cacheField>
    <cacheField name="Planned Duration" numFmtId="0">
      <sharedItems containsString="0" containsBlank="1" containsNumber="1" containsInteger="1" minValue="5" maxValue="24"/>
    </cacheField>
    <cacheField name="Duration to Date" numFmtId="0">
      <sharedItems containsString="0" containsBlank="1" containsNumber="1" containsInteger="1" minValue="18" maxValue="53"/>
    </cacheField>
    <cacheField name="Actual Duration" numFmtId="0">
      <sharedItems containsNonDate="0" containsString="0" containsBlank="1"/>
    </cacheField>
    <cacheField name="To Date" numFmtId="0">
      <sharedItems containsSemiMixedTypes="0" containsString="0" containsNumber="1" containsInteger="1" minValue="0" maxValue="46"/>
    </cacheField>
    <cacheField name="Actual" numFmtId="0">
      <sharedItems containsNonDate="0" containsString="0" containsBlank="1"/>
    </cacheField>
    <cacheField name="To Date2" numFmtId="164">
      <sharedItems containsMixedTypes="1" containsNumber="1" minValue="1.0416666666666667" maxValue="6.5714285714285712"/>
    </cacheField>
    <cacheField name="Actual2" numFmtId="0">
      <sharedItems containsNonDate="0" containsString="0" containsBlank="1"/>
    </cacheField>
    <cacheField name="RAG Status" numFmtId="0">
      <sharedItems containsBlank="1" count="2">
        <s v="Red"/>
        <m/>
      </sharedItems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r:id="rId1" refreshedBy="Olufunmilayo Ogunjobi" refreshedDate="44143.966483564815" createdVersion="6" refreshedVersion="6" minRefreshableVersion="3" recordCount="14">
  <cacheSource type="worksheet">
    <worksheetSource ref="Q4:S18" sheet="Milestone 02-11-2020"/>
  </cacheSource>
  <cacheFields count="3">
    <cacheField name="Stage" numFmtId="0">
      <sharedItems count="5">
        <s v="Analysis"/>
        <s v="Development"/>
        <s v="IAT"/>
        <s v="SIT/UAT"/>
        <s v="Sanity"/>
      </sharedItems>
    </cacheField>
    <cacheField name="Project" numFmtId="0">
      <sharedItems count="14">
        <s v="CPG 2.0 drop 2 –sprint 2"/>
        <s v="Asset disposal form"/>
        <s v="E-ballot CR"/>
        <s v="YelloDoc CR – Sprint 2"/>
        <s v="Share UI Revamp – Drop 2 "/>
        <s v="CSI portal"/>
        <s v="Online health Declaration"/>
        <s v="Share UI Revamp – Drop 2 (Div/Dept Pages)"/>
        <s v="CPG 2.0 drop 2 – Sprint 1"/>
        <s v="TSS CR – Medical Flow"/>
        <s v="Share UI Revamp – Drop 1 (Div/Dept Pages)"/>
        <s v="DM 360 (Reports Migration)"/>
        <s v="CPG 2.0 Phase 1"/>
        <s v="E-Test"/>
      </sharedItems>
    </cacheField>
    <cacheField name="%Deviation" numFmtId="0">
      <sharedItems containsSemiMixedTypes="0" containsString="0" containsNumber="1" minValue="-0.51666666666666672" maxValue="15.5" count="13">
        <n v="1.6"/>
        <n v="2.6"/>
        <n v="-0.51666666666666672"/>
        <n v="1.2380952380952381"/>
        <n v="0"/>
        <n v="-3.6363636363636362E-2"/>
        <n v="-0.1111111111111111"/>
        <n v="0.44"/>
        <n v="3"/>
        <n v="1.0638297872340425"/>
        <n v="8.6"/>
        <n v="15.5"/>
        <n v="2.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s v="Virtual BTF"/>
    <n v="7"/>
    <n v="43"/>
    <m/>
    <n v="36"/>
    <m/>
    <n v="5.1428571428571432"/>
    <m/>
    <x v="0"/>
  </r>
  <r>
    <s v="CPG 2.0 drop 2 –sprint 2"/>
    <n v="10"/>
    <n v="16"/>
    <m/>
    <n v="6"/>
    <m/>
    <n v="0.6"/>
    <m/>
    <x v="1"/>
  </r>
  <r>
    <s v="Electronic Asset Movement Form (EMAF)"/>
    <n v="10"/>
    <n v="22"/>
    <m/>
    <n v="12"/>
    <m/>
    <n v="1.2"/>
    <m/>
    <x v="0"/>
  </r>
  <r>
    <s v="9 Mobile Sim Swap CR - Phase 2"/>
    <n v="24"/>
    <n v="39"/>
    <m/>
    <n v="15"/>
    <m/>
    <n v="0.625"/>
    <m/>
    <x v="1"/>
  </r>
  <r>
    <s v="Asset disposal form"/>
    <n v="5"/>
    <n v="3"/>
    <m/>
    <n v="-2"/>
    <m/>
    <n v="-0.4"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">
  <r>
    <s v="E-ballot CR"/>
    <n v="60"/>
    <n v="14"/>
    <m/>
    <n v="-46"/>
    <m/>
    <n v="-0.76666666666666672"/>
    <m/>
    <x v="0"/>
  </r>
  <r>
    <s v="YelloDoc CR – Sprint 2"/>
    <n v="21"/>
    <n v="32"/>
    <m/>
    <n v="11"/>
    <m/>
    <n v="0.52380952380952384"/>
    <m/>
    <x v="1"/>
  </r>
  <r>
    <s v="Share UI Revamp – Drop 2 (Custom WFs/Apps) - UI"/>
    <n v="11"/>
    <n v="6"/>
    <m/>
    <n v="-5"/>
    <m/>
    <n v="-0.45454545454545453"/>
    <m/>
    <x v="0"/>
  </r>
  <r>
    <s v="Share UI Revamp – Drop 2 (Custom WFs/Apps) - Integration"/>
    <m/>
    <m/>
    <m/>
    <n v="0"/>
    <m/>
    <e v="#DIV/0!"/>
    <m/>
    <x v="2"/>
  </r>
  <r>
    <s v="CSI portal"/>
    <n v="55"/>
    <n v="35"/>
    <m/>
    <n v="-20"/>
    <m/>
    <n v="-0.36363636363636365"/>
    <m/>
    <x v="0"/>
  </r>
  <r>
    <s v="Online health Declaration"/>
    <n v="45"/>
    <n v="20"/>
    <m/>
    <n v="-25"/>
    <m/>
    <n v="-0.55555555555555558"/>
    <m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">
  <r>
    <s v="CPG 2.0 drop 2 – Sprint 1"/>
    <n v="10"/>
    <n v="25"/>
    <m/>
    <n v="15"/>
    <m/>
    <n v="1.5"/>
    <m/>
    <x v="0"/>
  </r>
  <r>
    <s v="TSS CR – Medical Flow"/>
    <n v="47"/>
    <n v="82"/>
    <m/>
    <n v="35"/>
    <m/>
    <n v="0.74468085106382975"/>
    <m/>
    <x v="1"/>
  </r>
  <r>
    <s v="Share UI Revamp – Drop 1 (Div/Dept Pages)"/>
    <n v="28"/>
    <n v="28"/>
    <m/>
    <n v="0"/>
    <m/>
    <n v="0"/>
    <m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">
  <r>
    <s v="DM 360 (Reports Migration)"/>
    <n v="10"/>
    <n v="81"/>
    <m/>
    <n v="71"/>
    <m/>
    <n v="7.1"/>
    <m/>
    <x v="0"/>
  </r>
  <r>
    <s v="CPG 2.0 Phase 1"/>
    <n v="10"/>
    <n v="149"/>
    <m/>
    <n v="139"/>
    <m/>
    <n v="13.9"/>
    <m/>
    <x v="0"/>
  </r>
  <r>
    <s v="E-Test"/>
    <n v="8"/>
    <n v="20"/>
    <m/>
    <n v="12"/>
    <m/>
    <n v="1.5"/>
    <m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5">
  <r>
    <n v="1"/>
    <x v="0"/>
    <n v="7"/>
    <n v="48"/>
    <m/>
    <n v="41"/>
    <m/>
    <n v="5.8571428571428568"/>
    <m/>
    <x v="0"/>
    <m/>
  </r>
  <r>
    <n v="2"/>
    <x v="1"/>
    <n v="10"/>
    <n v="21"/>
    <m/>
    <n v="11"/>
    <m/>
    <n v="1.1000000000000001"/>
    <m/>
    <x v="1"/>
    <m/>
  </r>
  <r>
    <n v="3"/>
    <x v="2"/>
    <n v="10"/>
    <n v="27"/>
    <m/>
    <n v="17"/>
    <m/>
    <n v="1.7"/>
    <m/>
    <x v="0"/>
    <s v="SDD pendig on MTNN"/>
  </r>
  <r>
    <n v="4"/>
    <x v="3"/>
    <n v="24"/>
    <n v="44"/>
    <m/>
    <n v="20"/>
    <m/>
    <n v="0.83333333333333337"/>
    <m/>
    <x v="1"/>
    <m/>
  </r>
  <r>
    <n v="5"/>
    <x v="4"/>
    <n v="5"/>
    <n v="8"/>
    <m/>
    <n v="3"/>
    <m/>
    <n v="0.6"/>
    <m/>
    <x v="1"/>
    <s v="SDD to be completed on the 13th of Oct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7">
  <r>
    <n v="1"/>
    <s v="Virtual BTF"/>
    <n v="7"/>
    <n v="53"/>
    <m/>
    <n v="46"/>
    <m/>
    <n v="6.5714285714285712"/>
    <m/>
    <x v="0"/>
    <s v="Suspended"/>
  </r>
  <r>
    <n v="2"/>
    <s v="CPG 2.0 drop 2 –sprint 2"/>
    <n v="10"/>
    <n v="26"/>
    <m/>
    <n v="16"/>
    <m/>
    <n v="1.6"/>
    <m/>
    <x v="0"/>
    <m/>
  </r>
  <r>
    <n v="3"/>
    <s v="Electronic Asset Movement Form (EMAF)"/>
    <n v="10"/>
    <n v="27"/>
    <m/>
    <n v="17"/>
    <m/>
    <n v="1.7"/>
    <m/>
    <x v="0"/>
    <s v="Requirement document has been approved"/>
  </r>
  <r>
    <n v="4"/>
    <s v="9 Mobile Sim Swap CR - Phase 2"/>
    <n v="24"/>
    <n v="49"/>
    <m/>
    <n v="25"/>
    <m/>
    <n v="1.0416666666666667"/>
    <m/>
    <x v="0"/>
    <m/>
  </r>
  <r>
    <n v="5"/>
    <s v="Asset disposal form"/>
    <n v="5"/>
    <n v="13"/>
    <m/>
    <n v="8"/>
    <m/>
    <n v="1.6"/>
    <m/>
    <x v="0"/>
    <s v="SDD to be completed on the 13th of Oct"/>
  </r>
  <r>
    <n v="6"/>
    <m/>
    <m/>
    <m/>
    <m/>
    <n v="0"/>
    <m/>
    <e v="#DIV/0!"/>
    <m/>
    <x v="1"/>
    <m/>
  </r>
  <r>
    <n v="7"/>
    <m/>
    <m/>
    <m/>
    <m/>
    <n v="0"/>
    <m/>
    <e v="#DIV/0!"/>
    <m/>
    <x v="1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6">
  <r>
    <n v="1"/>
    <s v="E-ballot CR"/>
    <n v="60"/>
    <n v="24"/>
    <m/>
    <n v="-36"/>
    <m/>
    <n v="-0.6"/>
    <m/>
    <x v="0"/>
    <m/>
  </r>
  <r>
    <n v="2"/>
    <s v="YelloDoc CR – Sprint 2"/>
    <n v="21"/>
    <n v="42"/>
    <m/>
    <n v="21"/>
    <m/>
    <n v="1"/>
    <m/>
    <x v="1"/>
    <m/>
  </r>
  <r>
    <n v="3"/>
    <s v="Share UI Revamp – Drop 2 (Custom WFs/Apps) - UI"/>
    <n v="11"/>
    <n v="11"/>
    <m/>
    <n v="0"/>
    <m/>
    <n v="0"/>
    <m/>
    <x v="0"/>
    <s v="Development of 20 UIs completed, pending Integration"/>
  </r>
  <r>
    <n v="4"/>
    <s v="Share UI Revamp – Drop 2 (Custom WFs/Apps) - Integration"/>
    <m/>
    <m/>
    <m/>
    <n v="0"/>
    <m/>
    <e v="#DIV/0!"/>
    <m/>
    <x v="2"/>
    <s v="Development resource constraint to proceed"/>
  </r>
  <r>
    <n v="5"/>
    <s v="CSI portal"/>
    <n v="55"/>
    <n v="45"/>
    <m/>
    <n v="-10"/>
    <m/>
    <n v="-0.18181818181818182"/>
    <m/>
    <x v="0"/>
    <m/>
  </r>
  <r>
    <n v="6"/>
    <s v="Online health Declaration"/>
    <n v="45"/>
    <n v="30"/>
    <m/>
    <n v="-15"/>
    <m/>
    <n v="-0.33333333333333331"/>
    <m/>
    <x v="0"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7">
  <r>
    <n v="1"/>
    <s v="CPG 2.0 drop 2 – Sprint 1"/>
    <n v="10"/>
    <n v="35"/>
    <m/>
    <n v="25"/>
    <m/>
    <n v="2.5"/>
    <m/>
    <x v="0"/>
    <m/>
  </r>
  <r>
    <n v="2"/>
    <s v="TSS CR – Medical Flow"/>
    <n v="47"/>
    <n v="92"/>
    <m/>
    <n v="45"/>
    <m/>
    <n v="0.95744680851063835"/>
    <m/>
    <x v="0"/>
    <m/>
  </r>
  <r>
    <n v="3"/>
    <s v="Share UI Revamp – Drop 1 (Div/Dept Pages)"/>
    <n v="28"/>
    <n v="28"/>
    <m/>
    <n v="0"/>
    <m/>
    <n v="0"/>
    <m/>
    <x v="1"/>
    <s v="Awaiting Deployment"/>
  </r>
  <r>
    <n v="4"/>
    <m/>
    <m/>
    <m/>
    <m/>
    <n v="0"/>
    <m/>
    <e v="#DIV/0!"/>
    <m/>
    <x v="2"/>
    <m/>
  </r>
  <r>
    <n v="5"/>
    <m/>
    <m/>
    <m/>
    <m/>
    <n v="0"/>
    <m/>
    <e v="#DIV/0!"/>
    <m/>
    <x v="2"/>
    <m/>
  </r>
  <r>
    <n v="6"/>
    <m/>
    <m/>
    <m/>
    <m/>
    <n v="0"/>
    <m/>
    <e v="#DIV/0!"/>
    <m/>
    <x v="2"/>
    <m/>
  </r>
  <r>
    <n v="7"/>
    <m/>
    <m/>
    <m/>
    <m/>
    <n v="0"/>
    <m/>
    <e v="#DIV/0!"/>
    <m/>
    <x v="2"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7">
  <r>
    <n v="1"/>
    <s v="DM 360 (Reports Migration)"/>
    <n v="10"/>
    <n v="91"/>
    <m/>
    <n v="81"/>
    <m/>
    <n v="8.1"/>
    <m/>
    <x v="0"/>
    <m/>
  </r>
  <r>
    <n v="2"/>
    <s v="CPG 2.0 Phase 1"/>
    <n v="10"/>
    <n v="159"/>
    <m/>
    <n v="149"/>
    <m/>
    <n v="14.9"/>
    <m/>
    <x v="0"/>
    <m/>
  </r>
  <r>
    <n v="3"/>
    <s v="E-Test"/>
    <n v="8"/>
    <n v="26"/>
    <m/>
    <n v="18"/>
    <m/>
    <n v="2.25"/>
    <m/>
    <x v="0"/>
    <s v="Completed"/>
  </r>
  <r>
    <n v="4"/>
    <m/>
    <m/>
    <m/>
    <m/>
    <n v="0"/>
    <m/>
    <e v="#DIV/0!"/>
    <m/>
    <x v="1"/>
    <m/>
  </r>
  <r>
    <n v="5"/>
    <m/>
    <m/>
    <m/>
    <m/>
    <n v="0"/>
    <m/>
    <e v="#DIV/0!"/>
    <m/>
    <x v="1"/>
    <m/>
  </r>
  <r>
    <n v="6"/>
    <m/>
    <m/>
    <m/>
    <m/>
    <n v="0"/>
    <m/>
    <e v="#DIV/0!"/>
    <m/>
    <x v="1"/>
    <m/>
  </r>
  <r>
    <n v="7"/>
    <m/>
    <m/>
    <m/>
    <m/>
    <n v="0"/>
    <m/>
    <e v="#DIV/0!"/>
    <m/>
    <x v="1"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7">
  <r>
    <n v="1"/>
    <s v="Share UI Revamp – Drop 2 (Div/Dept Pages)"/>
    <n v="25"/>
    <n v="36"/>
    <m/>
    <n v="11"/>
    <m/>
    <n v="0.44"/>
    <m/>
    <x v="0"/>
    <s v="Completed Ready for Deployment"/>
  </r>
  <r>
    <n v="2"/>
    <m/>
    <m/>
    <m/>
    <m/>
    <n v="0"/>
    <m/>
    <e v="#DIV/0!"/>
    <m/>
    <x v="1"/>
    <m/>
  </r>
  <r>
    <n v="3"/>
    <m/>
    <m/>
    <m/>
    <m/>
    <n v="0"/>
    <m/>
    <e v="#DIV/0!"/>
    <m/>
    <x v="1"/>
    <m/>
  </r>
  <r>
    <n v="4"/>
    <m/>
    <m/>
    <m/>
    <m/>
    <n v="0"/>
    <m/>
    <e v="#DIV/0!"/>
    <m/>
    <x v="1"/>
    <m/>
  </r>
  <r>
    <n v="5"/>
    <m/>
    <m/>
    <m/>
    <m/>
    <n v="0"/>
    <m/>
    <e v="#DIV/0!"/>
    <m/>
    <x v="1"/>
    <m/>
  </r>
  <r>
    <n v="6"/>
    <m/>
    <m/>
    <m/>
    <m/>
    <n v="0"/>
    <m/>
    <e v="#DIV/0!"/>
    <m/>
    <x v="1"/>
    <m/>
  </r>
  <r>
    <n v="7"/>
    <m/>
    <m/>
    <m/>
    <m/>
    <n v="0"/>
    <m/>
    <e v="#DIV/0!"/>
    <m/>
    <x v="1"/>
    <m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6">
  <r>
    <n v="1"/>
    <s v="Virtual BTF"/>
    <n v="7"/>
    <n v="53"/>
    <m/>
    <n v="46"/>
    <m/>
    <n v="6.5714285714285712"/>
    <m/>
    <x v="0"/>
    <s v="Suspended"/>
  </r>
  <r>
    <n v="2"/>
    <s v="CPG 2.0 drop 2 –sprint 2"/>
    <n v="10"/>
    <n v="26"/>
    <m/>
    <n v="16"/>
    <m/>
    <n v="1.6"/>
    <m/>
    <x v="0"/>
    <m/>
  </r>
  <r>
    <n v="3"/>
    <s v="9 Mobile Sim Swap CR - Phase 2"/>
    <n v="24"/>
    <n v="49"/>
    <m/>
    <n v="25"/>
    <m/>
    <n v="1.0416666666666667"/>
    <m/>
    <x v="0"/>
    <s v="Suspended"/>
  </r>
  <r>
    <n v="4"/>
    <s v="Asset disposal form"/>
    <n v="5"/>
    <n v="18"/>
    <m/>
    <n v="13"/>
    <m/>
    <n v="2.6"/>
    <m/>
    <x v="0"/>
    <s v="SDD to be completed on the 13th of Oct"/>
  </r>
  <r>
    <n v="5"/>
    <m/>
    <m/>
    <m/>
    <m/>
    <n v="0"/>
    <m/>
    <e v="#DIV/0!"/>
    <m/>
    <x v="1"/>
    <m/>
  </r>
  <r>
    <n v="6"/>
    <m/>
    <m/>
    <m/>
    <m/>
    <n v="0"/>
    <m/>
    <e v="#DIV/0!"/>
    <m/>
    <x v="1"/>
    <m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count="14">
  <r>
    <x v="0"/>
    <x v="0"/>
    <x v="0"/>
  </r>
  <r>
    <x v="0"/>
    <x v="1"/>
    <x v="1"/>
  </r>
  <r>
    <x v="1"/>
    <x v="2"/>
    <x v="2"/>
  </r>
  <r>
    <x v="1"/>
    <x v="3"/>
    <x v="3"/>
  </r>
  <r>
    <x v="1"/>
    <x v="4"/>
    <x v="4"/>
  </r>
  <r>
    <x v="1"/>
    <x v="5"/>
    <x v="5"/>
  </r>
  <r>
    <x v="1"/>
    <x v="6"/>
    <x v="6"/>
  </r>
  <r>
    <x v="2"/>
    <x v="7"/>
    <x v="7"/>
  </r>
  <r>
    <x v="3"/>
    <x v="8"/>
    <x v="8"/>
  </r>
  <r>
    <x v="3"/>
    <x v="9"/>
    <x v="9"/>
  </r>
  <r>
    <x v="3"/>
    <x v="10"/>
    <x v="4"/>
  </r>
  <r>
    <x v="4"/>
    <x v="11"/>
    <x v="10"/>
  </r>
  <r>
    <x v="4"/>
    <x v="12"/>
    <x v="11"/>
  </r>
  <r>
    <x v="4"/>
    <x v="13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name="PivotTable9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60:O62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numFmtId="164" showAll="0"/>
    <pivotField showAll="0"/>
    <pivotField axis="axisRow" showAll="0">
      <items count="2">
        <item x="0"/>
        <item t="default"/>
      </items>
    </pivotField>
  </pivotFields>
  <rowFields count="1">
    <field x="8"/>
  </rowFields>
  <rowItems count="2">
    <i>
      <x/>
    </i>
    <i t="grand">
      <x/>
    </i>
  </rowItems>
  <colItems count="1">
    <i/>
  </colItems>
  <dataFields count="1">
    <dataField name="Count of Projec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46:O50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numFmtId="164"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jec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20:O24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jec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7:O11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numFmtId="164"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jec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20:O24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jec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46:O50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numFmtId="164"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jec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60:O62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numFmtId="164" showAll="0"/>
    <pivotField showAll="0"/>
    <pivotField axis="axisRow" showAll="0">
      <items count="2">
        <item x="0"/>
        <item t="default"/>
      </items>
    </pivotField>
  </pivotFields>
  <rowFields count="1">
    <field x="8"/>
  </rowFields>
  <rowItems count="2">
    <i>
      <x/>
    </i>
    <i t="grand">
      <x/>
    </i>
  </rowItems>
  <colItems count="1">
    <i/>
  </colItems>
  <dataFields count="1">
    <dataField name="Count of Projec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4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7:O10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showAll="0"/>
    <pivotField numFmtId="164"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Pro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7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20:O24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6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8:O11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Pro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6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32:O35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Pro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60:O63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Pro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9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45:O49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47:O51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2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9:O12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Pro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5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62:O65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Pro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6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T5:AI12" firstHeaderRow="1" firstDataRow="2" firstDataCol="1"/>
  <pivotFields count="3">
    <pivotField axis="axisRow" showAll="0">
      <items count="6">
        <item x="0"/>
        <item x="1"/>
        <item x="2"/>
        <item x="4"/>
        <item x="3"/>
        <item t="default"/>
      </items>
    </pivotField>
    <pivotField axis="axisCol" showAll="0">
      <items count="15">
        <item x="1"/>
        <item x="8"/>
        <item x="0"/>
        <item x="12"/>
        <item x="5"/>
        <item x="11"/>
        <item x="2"/>
        <item x="13"/>
        <item x="6"/>
        <item x="10"/>
        <item x="4"/>
        <item x="7"/>
        <item x="9"/>
        <item x="3"/>
        <item t="default"/>
      </items>
    </pivotField>
    <pivotField dataField="1" showAll="0">
      <items count="14">
        <item x="2"/>
        <item x="6"/>
        <item x="5"/>
        <item x="4"/>
        <item x="7"/>
        <item x="9"/>
        <item x="3"/>
        <item x="0"/>
        <item x="12"/>
        <item x="1"/>
        <item x="8"/>
        <item x="10"/>
        <item x="11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 of %Deviation" fld="2" baseField="0" baseItem="0"/>
  </dataFields>
  <chartFormats count="14"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34:O37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Pro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22:O26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16.xml"/><Relationship Id="rId7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6" Type="http://schemas.openxmlformats.org/officeDocument/2006/relationships/pivotTable" Target="../pivotTables/pivotTable19.xml"/><Relationship Id="rId5" Type="http://schemas.openxmlformats.org/officeDocument/2006/relationships/pivotTable" Target="../pivotTables/pivotTable18.xml"/><Relationship Id="rId4" Type="http://schemas.openxmlformats.org/officeDocument/2006/relationships/pivotTable" Target="../pivotTables/pivotTable1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68"/>
  <sheetViews>
    <sheetView topLeftCell="B46" workbookViewId="0">
      <selection activeCell="K49" sqref="K49"/>
    </sheetView>
  </sheetViews>
  <sheetFormatPr defaultRowHeight="15" x14ac:dyDescent="0.25"/>
  <cols>
    <col min="2" max="2" width="7" customWidth="1"/>
    <col min="3" max="3" width="22" customWidth="1"/>
    <col min="4" max="4" width="16.5703125" bestFit="1" customWidth="1"/>
    <col min="5" max="5" width="15.7109375" bestFit="1" customWidth="1"/>
    <col min="6" max="6" width="14.85546875" bestFit="1" customWidth="1"/>
    <col min="7" max="7" width="8.42578125" customWidth="1"/>
    <col min="8" max="8" width="9.7109375" customWidth="1"/>
    <col min="9" max="9" width="8.5703125" customWidth="1"/>
    <col min="10" max="10" width="8.85546875" customWidth="1"/>
    <col min="11" max="11" width="13.140625" customWidth="1"/>
    <col min="12" max="12" width="14" customWidth="1"/>
    <col min="14" max="14" width="13.140625" customWidth="1"/>
    <col min="15" max="15" width="15.42578125" customWidth="1"/>
    <col min="16" max="16" width="6.5703125" customWidth="1"/>
    <col min="17" max="17" width="4.42578125" customWidth="1"/>
    <col min="18" max="18" width="11.28515625" customWidth="1"/>
    <col min="19" max="19" width="10.5703125" bestFit="1" customWidth="1"/>
    <col min="20" max="20" width="11.28515625" bestFit="1" customWidth="1"/>
  </cols>
  <sheetData>
    <row r="2" spans="2:20" ht="15.75" thickBot="1" x14ac:dyDescent="0.3"/>
    <row r="3" spans="2:20" ht="15.75" thickBot="1" x14ac:dyDescent="0.3">
      <c r="C3" s="142" t="s">
        <v>3</v>
      </c>
      <c r="D3" s="144"/>
      <c r="E3" s="144"/>
      <c r="F3" s="144"/>
      <c r="G3" s="143"/>
      <c r="H3" s="21"/>
      <c r="I3" s="21"/>
    </row>
    <row r="4" spans="2:20" s="4" customFormat="1" ht="15.75" thickBot="1" x14ac:dyDescent="0.3">
      <c r="C4" s="3"/>
      <c r="D4" s="3"/>
      <c r="E4" s="3"/>
      <c r="F4" s="3"/>
      <c r="G4" s="3"/>
      <c r="H4" s="3"/>
      <c r="I4" s="3"/>
    </row>
    <row r="5" spans="2:20" ht="15.75" thickBot="1" x14ac:dyDescent="0.3">
      <c r="C5" s="142" t="s">
        <v>4</v>
      </c>
      <c r="D5" s="143"/>
    </row>
    <row r="6" spans="2:20" s="5" customFormat="1" ht="15.75" thickBot="1" x14ac:dyDescent="0.3">
      <c r="G6" s="140" t="s">
        <v>2</v>
      </c>
      <c r="H6" s="141"/>
      <c r="I6" s="140" t="s">
        <v>13</v>
      </c>
      <c r="J6" s="141"/>
      <c r="N6" s="60" t="s">
        <v>46</v>
      </c>
    </row>
    <row r="7" spans="2:20" ht="15.75" thickBot="1" x14ac:dyDescent="0.3">
      <c r="B7" s="36" t="s">
        <v>7</v>
      </c>
      <c r="C7" s="28" t="s">
        <v>5</v>
      </c>
      <c r="D7" s="29" t="s">
        <v>0</v>
      </c>
      <c r="E7" s="9" t="s">
        <v>6</v>
      </c>
      <c r="F7" s="22" t="s">
        <v>1</v>
      </c>
      <c r="G7" s="28" t="s">
        <v>17</v>
      </c>
      <c r="H7" s="28" t="s">
        <v>16</v>
      </c>
      <c r="I7" s="28" t="s">
        <v>17</v>
      </c>
      <c r="J7" s="28" t="s">
        <v>16</v>
      </c>
      <c r="K7" s="28" t="s">
        <v>14</v>
      </c>
      <c r="L7" s="28" t="s">
        <v>15</v>
      </c>
      <c r="N7" s="58" t="s">
        <v>42</v>
      </c>
      <c r="O7" t="s">
        <v>45</v>
      </c>
    </row>
    <row r="8" spans="2:20" x14ac:dyDescent="0.25">
      <c r="B8" s="12">
        <v>1</v>
      </c>
      <c r="C8" s="1" t="s">
        <v>20</v>
      </c>
      <c r="D8" s="16">
        <v>7</v>
      </c>
      <c r="E8" s="20">
        <v>43</v>
      </c>
      <c r="F8" s="23"/>
      <c r="G8" s="30">
        <f>E8-D8</f>
        <v>36</v>
      </c>
      <c r="H8" s="30"/>
      <c r="I8" s="65">
        <f>G8/D8</f>
        <v>5.1428571428571432</v>
      </c>
      <c r="J8" s="1"/>
      <c r="K8" s="1" t="s">
        <v>19</v>
      </c>
      <c r="L8" s="1"/>
      <c r="N8" s="59" t="s">
        <v>26</v>
      </c>
      <c r="O8" s="57">
        <v>2</v>
      </c>
    </row>
    <row r="9" spans="2:20" ht="18.75" customHeight="1" x14ac:dyDescent="0.25">
      <c r="B9" s="12">
        <v>2</v>
      </c>
      <c r="C9" s="50" t="s">
        <v>21</v>
      </c>
      <c r="D9" s="38">
        <v>10</v>
      </c>
      <c r="E9" s="15">
        <v>16</v>
      </c>
      <c r="F9" s="24"/>
      <c r="G9" s="12">
        <f t="shared" ref="G9:G15" si="0">E9-D9</f>
        <v>6</v>
      </c>
      <c r="H9" s="12"/>
      <c r="I9" s="42">
        <f t="shared" ref="I9:I14" si="1">G9/D9</f>
        <v>0.6</v>
      </c>
      <c r="J9" s="26"/>
      <c r="K9" s="26" t="s">
        <v>26</v>
      </c>
      <c r="L9" s="26"/>
      <c r="N9" s="59" t="s">
        <v>18</v>
      </c>
      <c r="O9" s="57">
        <v>1</v>
      </c>
      <c r="Q9" s="57"/>
      <c r="R9" s="57"/>
      <c r="S9" s="57"/>
      <c r="T9" s="57"/>
    </row>
    <row r="10" spans="2:20" ht="45" x14ac:dyDescent="0.25">
      <c r="B10" s="12">
        <v>3</v>
      </c>
      <c r="C10" s="46" t="s">
        <v>27</v>
      </c>
      <c r="D10" s="38">
        <v>10</v>
      </c>
      <c r="E10" s="15">
        <v>22</v>
      </c>
      <c r="F10" s="24"/>
      <c r="G10" s="12">
        <f t="shared" si="0"/>
        <v>12</v>
      </c>
      <c r="H10" s="12"/>
      <c r="I10" s="42">
        <f t="shared" si="1"/>
        <v>1.2</v>
      </c>
      <c r="J10" s="26"/>
      <c r="K10" s="26" t="s">
        <v>19</v>
      </c>
      <c r="L10" s="26"/>
      <c r="N10" s="59" t="s">
        <v>19</v>
      </c>
      <c r="O10" s="57">
        <v>2</v>
      </c>
    </row>
    <row r="11" spans="2:20" ht="30" x14ac:dyDescent="0.25">
      <c r="B11" s="12">
        <v>4</v>
      </c>
      <c r="C11" s="45" t="s">
        <v>28</v>
      </c>
      <c r="D11" s="38">
        <v>24</v>
      </c>
      <c r="E11" s="15">
        <v>39</v>
      </c>
      <c r="F11" s="24"/>
      <c r="G11" s="12">
        <f t="shared" si="0"/>
        <v>15</v>
      </c>
      <c r="H11" s="12"/>
      <c r="I11" s="42">
        <f t="shared" si="1"/>
        <v>0.625</v>
      </c>
      <c r="J11" s="26"/>
      <c r="K11" s="26" t="s">
        <v>26</v>
      </c>
      <c r="L11" s="26"/>
      <c r="N11" s="59" t="s">
        <v>44</v>
      </c>
      <c r="O11" s="57">
        <v>5</v>
      </c>
    </row>
    <row r="12" spans="2:20" ht="60" x14ac:dyDescent="0.25">
      <c r="B12" s="12">
        <v>5</v>
      </c>
      <c r="C12" s="45" t="s">
        <v>38</v>
      </c>
      <c r="D12" s="38">
        <v>5</v>
      </c>
      <c r="E12" s="15">
        <v>3</v>
      </c>
      <c r="F12" s="24"/>
      <c r="G12" s="12">
        <f t="shared" si="0"/>
        <v>-2</v>
      </c>
      <c r="H12" s="12"/>
      <c r="I12" s="42">
        <f t="shared" si="1"/>
        <v>-0.4</v>
      </c>
      <c r="J12" s="26"/>
      <c r="K12" s="26" t="s">
        <v>18</v>
      </c>
      <c r="L12" s="46" t="s">
        <v>39</v>
      </c>
    </row>
    <row r="13" spans="2:20" x14ac:dyDescent="0.25">
      <c r="B13" s="12">
        <v>6</v>
      </c>
      <c r="C13" s="12"/>
      <c r="D13" s="38"/>
      <c r="E13" s="15"/>
      <c r="F13" s="24"/>
      <c r="G13" s="12">
        <f t="shared" si="0"/>
        <v>0</v>
      </c>
      <c r="H13" s="12"/>
      <c r="I13" s="42" t="e">
        <f t="shared" si="1"/>
        <v>#DIV/0!</v>
      </c>
      <c r="J13" s="26"/>
      <c r="K13" s="26"/>
      <c r="L13" s="26"/>
    </row>
    <row r="14" spans="2:20" ht="15.75" thickBot="1" x14ac:dyDescent="0.3">
      <c r="B14" s="13">
        <v>7</v>
      </c>
      <c r="C14" s="13"/>
      <c r="D14" s="39"/>
      <c r="E14" s="19"/>
      <c r="F14" s="25"/>
      <c r="G14" s="18">
        <f t="shared" si="0"/>
        <v>0</v>
      </c>
      <c r="H14" s="18"/>
      <c r="I14" s="54" t="e">
        <f t="shared" si="1"/>
        <v>#DIV/0!</v>
      </c>
      <c r="J14" s="31"/>
      <c r="K14" s="31"/>
      <c r="L14" s="31"/>
    </row>
    <row r="15" spans="2:20" ht="15.75" thickBot="1" x14ac:dyDescent="0.3">
      <c r="C15" s="14" t="s">
        <v>8</v>
      </c>
      <c r="D15" s="6">
        <f>SUM(D8:D14)</f>
        <v>56</v>
      </c>
      <c r="E15" s="7">
        <f>SUM(E8:E14)</f>
        <v>123</v>
      </c>
      <c r="F15" s="6">
        <f>SUM(F8:F14)</f>
        <v>0</v>
      </c>
      <c r="G15" s="7">
        <f t="shared" si="0"/>
        <v>67</v>
      </c>
      <c r="H15" s="7"/>
      <c r="I15" s="55">
        <f>G15/D15</f>
        <v>1.1964285714285714</v>
      </c>
      <c r="J15" s="32"/>
      <c r="K15" s="32"/>
      <c r="L15" s="32"/>
    </row>
    <row r="17" spans="2:15" ht="15.75" thickBot="1" x14ac:dyDescent="0.3"/>
    <row r="18" spans="2:15" ht="15.75" thickBot="1" x14ac:dyDescent="0.3">
      <c r="C18" s="142" t="s">
        <v>9</v>
      </c>
      <c r="D18" s="143"/>
    </row>
    <row r="19" spans="2:15" ht="15.75" thickBot="1" x14ac:dyDescent="0.3">
      <c r="B19" s="5"/>
      <c r="C19" s="5"/>
      <c r="D19" s="5"/>
      <c r="E19" s="5"/>
      <c r="F19" s="5"/>
      <c r="G19" s="140" t="s">
        <v>2</v>
      </c>
      <c r="H19" s="141"/>
      <c r="I19" s="140" t="s">
        <v>13</v>
      </c>
      <c r="J19" s="141"/>
      <c r="N19" s="61" t="s">
        <v>47</v>
      </c>
    </row>
    <row r="20" spans="2:15" ht="15.75" thickBot="1" x14ac:dyDescent="0.3">
      <c r="B20" s="22" t="s">
        <v>7</v>
      </c>
      <c r="C20" s="28" t="s">
        <v>5</v>
      </c>
      <c r="D20" s="29" t="s">
        <v>0</v>
      </c>
      <c r="E20" s="9" t="s">
        <v>6</v>
      </c>
      <c r="F20" s="28" t="s">
        <v>1</v>
      </c>
      <c r="G20" s="28" t="s">
        <v>17</v>
      </c>
      <c r="H20" s="28" t="s">
        <v>16</v>
      </c>
      <c r="I20" s="28" t="s">
        <v>17</v>
      </c>
      <c r="J20" s="28" t="s">
        <v>16</v>
      </c>
      <c r="K20" s="28" t="s">
        <v>14</v>
      </c>
      <c r="L20" s="28" t="s">
        <v>15</v>
      </c>
      <c r="N20" s="58" t="s">
        <v>42</v>
      </c>
      <c r="O20" t="s">
        <v>45</v>
      </c>
    </row>
    <row r="21" spans="2:15" x14ac:dyDescent="0.25">
      <c r="B21" s="62">
        <v>1</v>
      </c>
      <c r="C21" s="63" t="s">
        <v>22</v>
      </c>
      <c r="D21" s="16">
        <v>60</v>
      </c>
      <c r="E21" s="20">
        <v>14</v>
      </c>
      <c r="F21" s="1"/>
      <c r="G21" s="30">
        <f>E21-D21</f>
        <v>-46</v>
      </c>
      <c r="H21" s="30"/>
      <c r="I21" s="64">
        <f>G21/D21</f>
        <v>-0.76666666666666672</v>
      </c>
      <c r="J21" s="1"/>
      <c r="K21" s="1" t="s">
        <v>18</v>
      </c>
      <c r="L21" s="1"/>
      <c r="N21" s="59" t="s">
        <v>26</v>
      </c>
      <c r="O21" s="57">
        <v>1</v>
      </c>
    </row>
    <row r="22" spans="2:15" x14ac:dyDescent="0.25">
      <c r="B22" s="24">
        <v>2</v>
      </c>
      <c r="C22" s="50" t="s">
        <v>29</v>
      </c>
      <c r="D22" s="38">
        <v>21</v>
      </c>
      <c r="E22" s="15">
        <v>32</v>
      </c>
      <c r="F22" s="12"/>
      <c r="G22" s="30">
        <f t="shared" ref="G22:G28" si="2">E22-D22</f>
        <v>11</v>
      </c>
      <c r="H22" s="12"/>
      <c r="I22" s="41">
        <f t="shared" ref="I22:I28" si="3">G22/D22</f>
        <v>0.52380952380952384</v>
      </c>
      <c r="J22" s="26"/>
      <c r="K22" s="26" t="s">
        <v>26</v>
      </c>
      <c r="L22" s="26"/>
      <c r="N22" s="59" t="s">
        <v>18</v>
      </c>
      <c r="O22" s="57">
        <v>4</v>
      </c>
    </row>
    <row r="23" spans="2:15" ht="45" x14ac:dyDescent="0.25">
      <c r="B23" s="24">
        <v>3</v>
      </c>
      <c r="C23" s="40" t="s">
        <v>30</v>
      </c>
      <c r="D23" s="38">
        <v>11</v>
      </c>
      <c r="E23" s="15">
        <v>6</v>
      </c>
      <c r="F23" s="12"/>
      <c r="G23" s="30">
        <f t="shared" si="2"/>
        <v>-5</v>
      </c>
      <c r="H23" s="12"/>
      <c r="I23" s="41">
        <f t="shared" si="3"/>
        <v>-0.45454545454545453</v>
      </c>
      <c r="J23" s="26"/>
      <c r="K23" s="26" t="s">
        <v>18</v>
      </c>
      <c r="L23" s="26"/>
      <c r="N23" s="59" t="s">
        <v>43</v>
      </c>
      <c r="O23" s="57">
        <v>1</v>
      </c>
    </row>
    <row r="24" spans="2:15" ht="60" x14ac:dyDescent="0.25">
      <c r="B24" s="24">
        <v>4</v>
      </c>
      <c r="C24" s="40" t="s">
        <v>31</v>
      </c>
      <c r="D24" s="38"/>
      <c r="E24" s="15"/>
      <c r="F24" s="12"/>
      <c r="G24" s="30">
        <f t="shared" si="2"/>
        <v>0</v>
      </c>
      <c r="H24" s="12"/>
      <c r="I24" s="41" t="e">
        <f t="shared" si="3"/>
        <v>#DIV/0!</v>
      </c>
      <c r="J24" s="26"/>
      <c r="K24" s="26"/>
      <c r="L24" s="46" t="s">
        <v>32</v>
      </c>
      <c r="N24" s="59" t="s">
        <v>44</v>
      </c>
      <c r="O24" s="57">
        <v>6</v>
      </c>
    </row>
    <row r="25" spans="2:15" x14ac:dyDescent="0.25">
      <c r="B25" s="24">
        <v>5</v>
      </c>
      <c r="C25" s="40" t="s">
        <v>40</v>
      </c>
      <c r="D25" s="38">
        <v>55</v>
      </c>
      <c r="E25" s="15">
        <v>35</v>
      </c>
      <c r="F25" s="12"/>
      <c r="G25" s="30">
        <f t="shared" si="2"/>
        <v>-20</v>
      </c>
      <c r="H25" s="12"/>
      <c r="I25" s="41">
        <f t="shared" si="3"/>
        <v>-0.36363636363636365</v>
      </c>
      <c r="J25" s="26"/>
      <c r="K25" s="26" t="s">
        <v>18</v>
      </c>
      <c r="L25" s="26"/>
    </row>
    <row r="26" spans="2:15" ht="30" x14ac:dyDescent="0.25">
      <c r="B26" s="24">
        <v>6</v>
      </c>
      <c r="C26" s="40" t="s">
        <v>41</v>
      </c>
      <c r="D26" s="38">
        <v>45</v>
      </c>
      <c r="E26" s="15">
        <v>20</v>
      </c>
      <c r="F26" s="12"/>
      <c r="G26" s="30">
        <f t="shared" si="2"/>
        <v>-25</v>
      </c>
      <c r="H26" s="12"/>
      <c r="I26" s="41">
        <f t="shared" si="3"/>
        <v>-0.55555555555555558</v>
      </c>
      <c r="J26" s="26"/>
      <c r="K26" s="26" t="s">
        <v>18</v>
      </c>
      <c r="L26" s="26"/>
    </row>
    <row r="27" spans="2:15" ht="15.75" thickBot="1" x14ac:dyDescent="0.3">
      <c r="B27" s="48">
        <v>7</v>
      </c>
      <c r="C27" s="13"/>
      <c r="D27" s="39"/>
      <c r="E27" s="19"/>
      <c r="F27" s="18"/>
      <c r="G27" s="53">
        <f t="shared" si="2"/>
        <v>0</v>
      </c>
      <c r="H27" s="18"/>
      <c r="I27" s="51" t="e">
        <f t="shared" si="3"/>
        <v>#DIV/0!</v>
      </c>
      <c r="J27" s="31"/>
      <c r="K27" s="31"/>
      <c r="L27" s="31"/>
    </row>
    <row r="28" spans="2:15" ht="15.75" thickBot="1" x14ac:dyDescent="0.3">
      <c r="C28" s="49" t="s">
        <v>8</v>
      </c>
      <c r="D28" s="6">
        <f>SUM(D21:D27)</f>
        <v>192</v>
      </c>
      <c r="E28" s="7">
        <f>SUM(E21:E27)</f>
        <v>107</v>
      </c>
      <c r="F28" s="7">
        <f>SUM(F21:F27)</f>
        <v>0</v>
      </c>
      <c r="G28" s="7">
        <f t="shared" si="2"/>
        <v>-85</v>
      </c>
      <c r="H28" s="7"/>
      <c r="I28" s="52">
        <f t="shared" si="3"/>
        <v>-0.44270833333333331</v>
      </c>
      <c r="J28" s="32"/>
      <c r="K28" s="32"/>
      <c r="L28" s="32"/>
    </row>
    <row r="30" spans="2:15" ht="15.75" thickBot="1" x14ac:dyDescent="0.3"/>
    <row r="31" spans="2:15" ht="15.75" thickBot="1" x14ac:dyDescent="0.3">
      <c r="C31" s="142" t="s">
        <v>10</v>
      </c>
      <c r="D31" s="143"/>
    </row>
    <row r="32" spans="2:15" ht="15.75" thickBot="1" x14ac:dyDescent="0.3">
      <c r="B32" s="5"/>
      <c r="C32" s="5"/>
      <c r="D32" s="5"/>
      <c r="E32" s="5"/>
      <c r="F32" s="5"/>
      <c r="G32" s="140" t="s">
        <v>2</v>
      </c>
      <c r="H32" s="141"/>
      <c r="I32" s="140" t="s">
        <v>13</v>
      </c>
      <c r="J32" s="141"/>
      <c r="N32" s="61" t="s">
        <v>48</v>
      </c>
    </row>
    <row r="33" spans="2:15" ht="15.75" thickBot="1" x14ac:dyDescent="0.3">
      <c r="B33" s="8" t="s">
        <v>7</v>
      </c>
      <c r="C33" s="9" t="s">
        <v>5</v>
      </c>
      <c r="D33" s="8" t="s">
        <v>0</v>
      </c>
      <c r="E33" s="9" t="s">
        <v>6</v>
      </c>
      <c r="F33" s="8" t="s">
        <v>1</v>
      </c>
      <c r="G33" s="22" t="s">
        <v>17</v>
      </c>
      <c r="H33" s="28" t="s">
        <v>16</v>
      </c>
      <c r="I33" s="28" t="s">
        <v>17</v>
      </c>
      <c r="J33" s="28" t="s">
        <v>16</v>
      </c>
      <c r="K33" s="28" t="s">
        <v>14</v>
      </c>
      <c r="L33" s="28" t="s">
        <v>15</v>
      </c>
    </row>
    <row r="34" spans="2:15" ht="45" x14ac:dyDescent="0.25">
      <c r="B34" s="11">
        <v>1</v>
      </c>
      <c r="C34" s="37" t="s">
        <v>33</v>
      </c>
      <c r="D34" s="1">
        <v>25</v>
      </c>
      <c r="E34" s="2">
        <v>30</v>
      </c>
      <c r="F34" s="1"/>
      <c r="G34" s="20">
        <f>E34-D34</f>
        <v>5</v>
      </c>
      <c r="H34" s="30"/>
      <c r="I34" s="30">
        <f>G34/D34</f>
        <v>0.2</v>
      </c>
      <c r="J34" s="1"/>
      <c r="K34" s="1" t="s">
        <v>26</v>
      </c>
      <c r="L34" s="1"/>
    </row>
    <row r="35" spans="2:15" x14ac:dyDescent="0.25">
      <c r="B35" s="12">
        <v>2</v>
      </c>
      <c r="C35" s="15"/>
      <c r="D35" s="12"/>
      <c r="E35" s="15"/>
      <c r="F35" s="12"/>
      <c r="G35" s="20">
        <f t="shared" ref="G35:G41" si="4">E35-D35</f>
        <v>0</v>
      </c>
      <c r="H35" s="12"/>
      <c r="I35" s="12" t="e">
        <f t="shared" ref="I35:I41" si="5">G35/D35</f>
        <v>#DIV/0!</v>
      </c>
      <c r="J35" s="26"/>
      <c r="K35" s="26"/>
      <c r="L35" s="26"/>
    </row>
    <row r="36" spans="2:15" x14ac:dyDescent="0.25">
      <c r="B36" s="12">
        <v>3</v>
      </c>
      <c r="C36" s="15"/>
      <c r="D36" s="12"/>
      <c r="E36" s="15"/>
      <c r="F36" s="12"/>
      <c r="G36" s="20">
        <f t="shared" si="4"/>
        <v>0</v>
      </c>
      <c r="H36" s="12"/>
      <c r="I36" s="12" t="e">
        <f t="shared" si="5"/>
        <v>#DIV/0!</v>
      </c>
      <c r="J36" s="26"/>
      <c r="K36" s="26"/>
      <c r="L36" s="26"/>
    </row>
    <row r="37" spans="2:15" x14ac:dyDescent="0.25">
      <c r="B37" s="12">
        <v>4</v>
      </c>
      <c r="C37" s="15"/>
      <c r="D37" s="12"/>
      <c r="E37" s="15"/>
      <c r="F37" s="12"/>
      <c r="G37" s="20">
        <f t="shared" si="4"/>
        <v>0</v>
      </c>
      <c r="H37" s="12"/>
      <c r="I37" s="12" t="e">
        <f t="shared" si="5"/>
        <v>#DIV/0!</v>
      </c>
      <c r="J37" s="26"/>
      <c r="K37" s="26"/>
      <c r="L37" s="26"/>
    </row>
    <row r="38" spans="2:15" x14ac:dyDescent="0.25">
      <c r="B38" s="12">
        <v>5</v>
      </c>
      <c r="C38" s="15"/>
      <c r="D38" s="12"/>
      <c r="E38" s="15"/>
      <c r="F38" s="12"/>
      <c r="G38" s="20">
        <f t="shared" si="4"/>
        <v>0</v>
      </c>
      <c r="H38" s="12"/>
      <c r="I38" s="12" t="e">
        <f t="shared" si="5"/>
        <v>#DIV/0!</v>
      </c>
      <c r="J38" s="26"/>
      <c r="K38" s="26"/>
      <c r="L38" s="26"/>
    </row>
    <row r="39" spans="2:15" x14ac:dyDescent="0.25">
      <c r="B39" s="12">
        <v>6</v>
      </c>
      <c r="C39" s="15"/>
      <c r="D39" s="12"/>
      <c r="E39" s="15"/>
      <c r="F39" s="12"/>
      <c r="G39" s="20">
        <f t="shared" si="4"/>
        <v>0</v>
      </c>
      <c r="H39" s="12"/>
      <c r="I39" s="12" t="e">
        <f t="shared" si="5"/>
        <v>#DIV/0!</v>
      </c>
      <c r="J39" s="26"/>
      <c r="K39" s="26"/>
      <c r="L39" s="26"/>
    </row>
    <row r="40" spans="2:15" ht="15.75" thickBot="1" x14ac:dyDescent="0.3">
      <c r="B40" s="13">
        <v>7</v>
      </c>
      <c r="C40" s="17"/>
      <c r="D40" s="18"/>
      <c r="E40" s="19"/>
      <c r="F40" s="18"/>
      <c r="G40" s="56">
        <f t="shared" si="4"/>
        <v>0</v>
      </c>
      <c r="H40" s="18"/>
      <c r="I40" s="18" t="e">
        <f t="shared" si="5"/>
        <v>#DIV/0!</v>
      </c>
      <c r="J40" s="31"/>
      <c r="K40" s="31"/>
      <c r="L40" s="31"/>
    </row>
    <row r="41" spans="2:15" ht="15.75" thickBot="1" x14ac:dyDescent="0.3">
      <c r="C41" s="14" t="s">
        <v>8</v>
      </c>
      <c r="D41" s="6">
        <f>SUM(D34:D40)</f>
        <v>25</v>
      </c>
      <c r="E41" s="7">
        <f>SUM(E34:E40)</f>
        <v>30</v>
      </c>
      <c r="F41" s="7">
        <f>SUM(F34:F40)</f>
        <v>0</v>
      </c>
      <c r="G41" s="7">
        <f t="shared" si="4"/>
        <v>5</v>
      </c>
      <c r="H41" s="7"/>
      <c r="I41" s="7">
        <f t="shared" si="5"/>
        <v>0.2</v>
      </c>
      <c r="J41" s="32"/>
      <c r="K41" s="32"/>
      <c r="L41" s="32"/>
    </row>
    <row r="43" spans="2:15" ht="15.75" thickBot="1" x14ac:dyDescent="0.3"/>
    <row r="44" spans="2:15" ht="15.75" thickBot="1" x14ac:dyDescent="0.3">
      <c r="C44" s="142" t="s">
        <v>11</v>
      </c>
      <c r="D44" s="143"/>
    </row>
    <row r="45" spans="2:15" ht="15.75" thickBot="1" x14ac:dyDescent="0.3">
      <c r="B45" s="5"/>
      <c r="C45" s="5"/>
      <c r="D45" s="5"/>
      <c r="E45" s="5"/>
      <c r="F45" s="5"/>
      <c r="G45" s="140" t="s">
        <v>2</v>
      </c>
      <c r="H45" s="141"/>
      <c r="I45" s="140" t="s">
        <v>13</v>
      </c>
      <c r="J45" s="141"/>
      <c r="N45" s="61" t="s">
        <v>49</v>
      </c>
    </row>
    <row r="46" spans="2:15" ht="15.75" thickBot="1" x14ac:dyDescent="0.3">
      <c r="B46" s="22" t="s">
        <v>7</v>
      </c>
      <c r="C46" s="36" t="s">
        <v>5</v>
      </c>
      <c r="D46" s="29" t="s">
        <v>0</v>
      </c>
      <c r="E46" s="9" t="s">
        <v>6</v>
      </c>
      <c r="F46" s="8" t="s">
        <v>1</v>
      </c>
      <c r="G46" s="22" t="s">
        <v>17</v>
      </c>
      <c r="H46" s="28" t="s">
        <v>16</v>
      </c>
      <c r="I46" s="28" t="s">
        <v>17</v>
      </c>
      <c r="J46" s="28" t="s">
        <v>16</v>
      </c>
      <c r="K46" s="28" t="s">
        <v>14</v>
      </c>
      <c r="L46" s="28" t="s">
        <v>15</v>
      </c>
      <c r="N46" s="58" t="s">
        <v>42</v>
      </c>
      <c r="O46" t="s">
        <v>45</v>
      </c>
    </row>
    <row r="47" spans="2:15" x14ac:dyDescent="0.25">
      <c r="B47" s="47">
        <v>1</v>
      </c>
      <c r="C47" s="50" t="s">
        <v>23</v>
      </c>
      <c r="D47" s="16">
        <v>10</v>
      </c>
      <c r="E47" s="20">
        <v>25</v>
      </c>
      <c r="F47" s="1"/>
      <c r="G47" s="20">
        <f>E47-D47</f>
        <v>15</v>
      </c>
      <c r="H47" s="30"/>
      <c r="I47" s="66">
        <f>G47/D47</f>
        <v>1.5</v>
      </c>
      <c r="J47" s="1"/>
      <c r="K47" s="1" t="s">
        <v>19</v>
      </c>
      <c r="L47" s="1"/>
      <c r="N47" s="59" t="s">
        <v>26</v>
      </c>
      <c r="O47" s="57">
        <v>1</v>
      </c>
    </row>
    <row r="48" spans="2:15" x14ac:dyDescent="0.25">
      <c r="B48" s="24">
        <v>2</v>
      </c>
      <c r="C48" s="50" t="s">
        <v>34</v>
      </c>
      <c r="D48" s="38">
        <v>47</v>
      </c>
      <c r="E48" s="15">
        <v>82</v>
      </c>
      <c r="F48" s="12"/>
      <c r="G48" s="20">
        <f t="shared" ref="G48:G54" si="6">E48-D48</f>
        <v>35</v>
      </c>
      <c r="H48" s="12"/>
      <c r="I48" s="42">
        <f t="shared" ref="I48:I54" si="7">G48/D48</f>
        <v>0.74468085106382975</v>
      </c>
      <c r="J48" s="26"/>
      <c r="K48" s="26" t="s">
        <v>19</v>
      </c>
      <c r="L48" s="26"/>
      <c r="N48" s="59" t="s">
        <v>18</v>
      </c>
      <c r="O48" s="57">
        <v>1</v>
      </c>
    </row>
    <row r="49" spans="2:15" ht="45" x14ac:dyDescent="0.25">
      <c r="B49" s="24">
        <v>3</v>
      </c>
      <c r="C49" s="40" t="s">
        <v>35</v>
      </c>
      <c r="D49" s="38">
        <v>28</v>
      </c>
      <c r="E49" s="15">
        <v>28</v>
      </c>
      <c r="F49" s="12"/>
      <c r="G49" s="20">
        <f t="shared" si="6"/>
        <v>0</v>
      </c>
      <c r="H49" s="12"/>
      <c r="I49" s="42">
        <f t="shared" si="7"/>
        <v>0</v>
      </c>
      <c r="J49" s="26"/>
      <c r="K49" s="26" t="s">
        <v>18</v>
      </c>
      <c r="L49" s="46" t="s">
        <v>36</v>
      </c>
      <c r="N49" s="59" t="s">
        <v>19</v>
      </c>
      <c r="O49" s="57">
        <v>1</v>
      </c>
    </row>
    <row r="50" spans="2:15" x14ac:dyDescent="0.25">
      <c r="B50" s="24">
        <v>4</v>
      </c>
      <c r="C50" s="12"/>
      <c r="D50" s="38"/>
      <c r="E50" s="15"/>
      <c r="F50" s="12"/>
      <c r="G50" s="20">
        <f t="shared" si="6"/>
        <v>0</v>
      </c>
      <c r="H50" s="12"/>
      <c r="I50" s="42" t="e">
        <f t="shared" si="7"/>
        <v>#DIV/0!</v>
      </c>
      <c r="J50" s="26"/>
      <c r="K50" s="26"/>
      <c r="L50" s="26"/>
      <c r="N50" s="59" t="s">
        <v>44</v>
      </c>
      <c r="O50" s="57">
        <v>3</v>
      </c>
    </row>
    <row r="51" spans="2:15" x14ac:dyDescent="0.25">
      <c r="B51" s="24">
        <v>5</v>
      </c>
      <c r="C51" s="12"/>
      <c r="D51" s="38"/>
      <c r="E51" s="15"/>
      <c r="F51" s="12"/>
      <c r="G51" s="20">
        <f t="shared" si="6"/>
        <v>0</v>
      </c>
      <c r="H51" s="12"/>
      <c r="I51" s="42" t="e">
        <f t="shared" si="7"/>
        <v>#DIV/0!</v>
      </c>
      <c r="J51" s="26"/>
      <c r="K51" s="26"/>
      <c r="L51" s="26"/>
    </row>
    <row r="52" spans="2:15" x14ac:dyDescent="0.25">
      <c r="B52" s="24">
        <v>6</v>
      </c>
      <c r="C52" s="12"/>
      <c r="D52" s="38"/>
      <c r="E52" s="15"/>
      <c r="F52" s="12"/>
      <c r="G52" s="20">
        <f t="shared" si="6"/>
        <v>0</v>
      </c>
      <c r="H52" s="12"/>
      <c r="I52" s="42" t="e">
        <f t="shared" si="7"/>
        <v>#DIV/0!</v>
      </c>
      <c r="J52" s="26"/>
      <c r="K52" s="26"/>
      <c r="L52" s="26"/>
    </row>
    <row r="53" spans="2:15" ht="15.75" thickBot="1" x14ac:dyDescent="0.3">
      <c r="B53" s="48">
        <v>7</v>
      </c>
      <c r="C53" s="13"/>
      <c r="D53" s="39"/>
      <c r="E53" s="19"/>
      <c r="F53" s="18"/>
      <c r="G53" s="56">
        <f t="shared" si="6"/>
        <v>0</v>
      </c>
      <c r="H53" s="18"/>
      <c r="I53" s="42" t="e">
        <f t="shared" si="7"/>
        <v>#DIV/0!</v>
      </c>
      <c r="J53" s="31"/>
      <c r="K53" s="31"/>
      <c r="L53" s="31"/>
    </row>
    <row r="54" spans="2:15" ht="15.75" thickBot="1" x14ac:dyDescent="0.3">
      <c r="C54" s="14" t="s">
        <v>8</v>
      </c>
      <c r="D54" s="6">
        <f>SUM(D47:D53)</f>
        <v>85</v>
      </c>
      <c r="E54" s="7">
        <f>SUM(E47:E53)</f>
        <v>135</v>
      </c>
      <c r="F54" s="7">
        <f>SUM(F47:F53)</f>
        <v>0</v>
      </c>
      <c r="G54" s="7">
        <f t="shared" si="6"/>
        <v>50</v>
      </c>
      <c r="H54" s="7"/>
      <c r="I54" s="42">
        <f t="shared" si="7"/>
        <v>0.58823529411764708</v>
      </c>
      <c r="J54" s="32"/>
      <c r="K54" s="32"/>
      <c r="L54" s="32"/>
    </row>
    <row r="57" spans="2:15" ht="15.75" thickBot="1" x14ac:dyDescent="0.3"/>
    <row r="58" spans="2:15" ht="15.75" thickBot="1" x14ac:dyDescent="0.3">
      <c r="C58" s="142" t="s">
        <v>12</v>
      </c>
      <c r="D58" s="143"/>
    </row>
    <row r="59" spans="2:15" ht="15.75" thickBot="1" x14ac:dyDescent="0.3">
      <c r="B59" s="5"/>
      <c r="C59" s="5"/>
      <c r="D59" s="5"/>
      <c r="E59" s="5"/>
      <c r="F59" s="5"/>
      <c r="G59" s="140" t="s">
        <v>2</v>
      </c>
      <c r="H59" s="141"/>
      <c r="I59" s="140" t="s">
        <v>13</v>
      </c>
      <c r="J59" s="141"/>
      <c r="N59" s="61" t="s">
        <v>50</v>
      </c>
    </row>
    <row r="60" spans="2:15" ht="15.75" thickBot="1" x14ac:dyDescent="0.3">
      <c r="B60" s="22" t="s">
        <v>7</v>
      </c>
      <c r="C60" s="28" t="s">
        <v>5</v>
      </c>
      <c r="D60" s="10" t="s">
        <v>0</v>
      </c>
      <c r="E60" s="9" t="s">
        <v>6</v>
      </c>
      <c r="F60" s="8" t="s">
        <v>1</v>
      </c>
      <c r="G60" s="22" t="s">
        <v>17</v>
      </c>
      <c r="H60" s="28" t="s">
        <v>16</v>
      </c>
      <c r="I60" s="28" t="s">
        <v>17</v>
      </c>
      <c r="J60" s="29" t="s">
        <v>16</v>
      </c>
      <c r="K60" s="28" t="s">
        <v>14</v>
      </c>
      <c r="L60" s="28" t="s">
        <v>15</v>
      </c>
      <c r="N60" s="58" t="s">
        <v>42</v>
      </c>
      <c r="O60" t="s">
        <v>45</v>
      </c>
    </row>
    <row r="61" spans="2:15" ht="30" x14ac:dyDescent="0.25">
      <c r="B61" s="47">
        <v>1</v>
      </c>
      <c r="C61" s="67" t="s">
        <v>24</v>
      </c>
      <c r="D61" s="16">
        <v>10</v>
      </c>
      <c r="E61" s="20">
        <v>81</v>
      </c>
      <c r="F61" s="1"/>
      <c r="G61" s="20">
        <f>E61-D61</f>
        <v>71</v>
      </c>
      <c r="H61" s="30"/>
      <c r="I61" s="66">
        <f>G61/D61</f>
        <v>7.1</v>
      </c>
      <c r="J61" s="1"/>
      <c r="K61" s="1" t="s">
        <v>19</v>
      </c>
      <c r="L61" s="1"/>
      <c r="N61" s="59" t="s">
        <v>19</v>
      </c>
      <c r="O61" s="57">
        <v>3</v>
      </c>
    </row>
    <row r="62" spans="2:15" x14ac:dyDescent="0.25">
      <c r="B62" s="24">
        <v>2</v>
      </c>
      <c r="C62" s="50" t="s">
        <v>25</v>
      </c>
      <c r="D62" s="38">
        <v>10</v>
      </c>
      <c r="E62" s="15">
        <v>149</v>
      </c>
      <c r="F62" s="12"/>
      <c r="G62" s="20">
        <f t="shared" ref="G62:G68" si="8">E62-D62</f>
        <v>139</v>
      </c>
      <c r="H62" s="12"/>
      <c r="I62" s="42">
        <f t="shared" ref="I62:I68" si="9">G62/D62</f>
        <v>13.9</v>
      </c>
      <c r="J62" s="26"/>
      <c r="K62" s="26" t="s">
        <v>19</v>
      </c>
      <c r="L62" s="26"/>
      <c r="N62" s="59" t="s">
        <v>44</v>
      </c>
      <c r="O62" s="57">
        <v>3</v>
      </c>
    </row>
    <row r="63" spans="2:15" x14ac:dyDescent="0.25">
      <c r="B63" s="24">
        <v>3</v>
      </c>
      <c r="C63" s="50" t="s">
        <v>37</v>
      </c>
      <c r="D63" s="38">
        <v>8</v>
      </c>
      <c r="E63" s="15">
        <v>20</v>
      </c>
      <c r="F63" s="12"/>
      <c r="G63" s="20">
        <f t="shared" si="8"/>
        <v>12</v>
      </c>
      <c r="H63" s="12"/>
      <c r="I63" s="42">
        <f t="shared" si="9"/>
        <v>1.5</v>
      </c>
      <c r="J63" s="26"/>
      <c r="K63" s="26" t="s">
        <v>19</v>
      </c>
      <c r="L63" s="26"/>
    </row>
    <row r="64" spans="2:15" x14ac:dyDescent="0.25">
      <c r="B64" s="24">
        <v>4</v>
      </c>
      <c r="C64" s="12"/>
      <c r="D64" s="38"/>
      <c r="E64" s="15"/>
      <c r="F64" s="12"/>
      <c r="G64" s="20">
        <f t="shared" si="8"/>
        <v>0</v>
      </c>
      <c r="H64" s="12"/>
      <c r="I64" s="42" t="e">
        <f t="shared" si="9"/>
        <v>#DIV/0!</v>
      </c>
      <c r="J64" s="26"/>
      <c r="K64" s="26"/>
      <c r="L64" s="26"/>
    </row>
    <row r="65" spans="2:12" x14ac:dyDescent="0.25">
      <c r="B65" s="24">
        <v>5</v>
      </c>
      <c r="C65" s="12"/>
      <c r="D65" s="38"/>
      <c r="E65" s="15"/>
      <c r="F65" s="12"/>
      <c r="G65" s="20">
        <f t="shared" si="8"/>
        <v>0</v>
      </c>
      <c r="H65" s="12"/>
      <c r="I65" s="42" t="e">
        <f t="shared" si="9"/>
        <v>#DIV/0!</v>
      </c>
      <c r="J65" s="26"/>
      <c r="K65" s="26"/>
      <c r="L65" s="26"/>
    </row>
    <row r="66" spans="2:12" x14ac:dyDescent="0.25">
      <c r="B66" s="24">
        <v>6</v>
      </c>
      <c r="C66" s="12"/>
      <c r="D66" s="38"/>
      <c r="E66" s="15"/>
      <c r="F66" s="12"/>
      <c r="G66" s="20">
        <f t="shared" si="8"/>
        <v>0</v>
      </c>
      <c r="H66" s="12"/>
      <c r="I66" s="42" t="e">
        <f t="shared" si="9"/>
        <v>#DIV/0!</v>
      </c>
      <c r="J66" s="26"/>
      <c r="K66" s="26"/>
      <c r="L66" s="26"/>
    </row>
    <row r="67" spans="2:12" ht="15.75" thickBot="1" x14ac:dyDescent="0.3">
      <c r="B67" s="48">
        <v>7</v>
      </c>
      <c r="C67" s="13"/>
      <c r="D67" s="39"/>
      <c r="E67" s="19"/>
      <c r="F67" s="18"/>
      <c r="G67" s="20">
        <f t="shared" si="8"/>
        <v>0</v>
      </c>
      <c r="H67" s="18"/>
      <c r="I67" s="42" t="e">
        <f t="shared" si="9"/>
        <v>#DIV/0!</v>
      </c>
      <c r="J67" s="27"/>
      <c r="K67" s="27"/>
      <c r="L67" s="27"/>
    </row>
    <row r="68" spans="2:12" ht="15.75" thickBot="1" x14ac:dyDescent="0.3">
      <c r="C68" s="14" t="s">
        <v>8</v>
      </c>
      <c r="D68" s="6">
        <f>SUM(D61:D67)</f>
        <v>28</v>
      </c>
      <c r="E68" s="7">
        <f>SUM(E61:E67)</f>
        <v>250</v>
      </c>
      <c r="F68" s="7">
        <f>SUM(F61:F67)</f>
        <v>0</v>
      </c>
      <c r="G68" s="20">
        <f t="shared" si="8"/>
        <v>222</v>
      </c>
      <c r="H68" s="7"/>
      <c r="I68" s="42">
        <f t="shared" si="9"/>
        <v>7.9285714285714288</v>
      </c>
      <c r="J68" s="35"/>
      <c r="K68" s="33"/>
      <c r="L68" s="34"/>
    </row>
  </sheetData>
  <mergeCells count="16">
    <mergeCell ref="C3:G3"/>
    <mergeCell ref="C18:D18"/>
    <mergeCell ref="C5:D5"/>
    <mergeCell ref="C31:D31"/>
    <mergeCell ref="C44:D44"/>
    <mergeCell ref="G19:H19"/>
    <mergeCell ref="G32:H32"/>
    <mergeCell ref="G59:H59"/>
    <mergeCell ref="I59:J59"/>
    <mergeCell ref="C58:D58"/>
    <mergeCell ref="G6:H6"/>
    <mergeCell ref="I6:J6"/>
    <mergeCell ref="I19:J19"/>
    <mergeCell ref="I32:J32"/>
    <mergeCell ref="G45:H45"/>
    <mergeCell ref="I45:J45"/>
  </mergeCells>
  <conditionalFormatting sqref="K8:K14">
    <cfRule type="containsText" dxfId="46" priority="4" operator="containsText" text="Green">
      <formula>NOT(ISERROR(SEARCH("Green",K8)))</formula>
    </cfRule>
  </conditionalFormatting>
  <conditionalFormatting sqref="K1:K1048576">
    <cfRule type="containsText" dxfId="45" priority="1" operator="containsText" text="Amber">
      <formula>NOT(ISERROR(SEARCH("Amber",K1)))</formula>
    </cfRule>
    <cfRule type="containsText" dxfId="44" priority="2" operator="containsText" text="Red">
      <formula>NOT(ISERROR(SEARCH("Red",K1)))</formula>
    </cfRule>
    <cfRule type="containsText" dxfId="43" priority="3" operator="containsText" text="Green">
      <formula>NOT(ISERROR(SEARCH("Green",K1)))</formula>
    </cfRule>
  </conditionalFormatting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68"/>
  <sheetViews>
    <sheetView workbookViewId="0">
      <selection activeCell="K55" sqref="A1:XFD1048576"/>
    </sheetView>
  </sheetViews>
  <sheetFormatPr defaultRowHeight="15" x14ac:dyDescent="0.25"/>
  <cols>
    <col min="2" max="2" width="7" customWidth="1"/>
    <col min="3" max="3" width="22" customWidth="1"/>
    <col min="4" max="4" width="16.5703125" bestFit="1" customWidth="1"/>
    <col min="5" max="5" width="15.7109375" bestFit="1" customWidth="1"/>
    <col min="6" max="6" width="14.85546875" bestFit="1" customWidth="1"/>
    <col min="7" max="7" width="8.42578125" customWidth="1"/>
    <col min="8" max="8" width="9.7109375" customWidth="1"/>
    <col min="9" max="9" width="8.5703125" customWidth="1"/>
    <col min="10" max="10" width="8.85546875" customWidth="1"/>
    <col min="11" max="11" width="13.140625" customWidth="1"/>
    <col min="12" max="12" width="14" customWidth="1"/>
    <col min="14" max="15" width="13.140625" customWidth="1"/>
    <col min="16" max="16" width="15.42578125" customWidth="1"/>
    <col min="17" max="17" width="4.42578125" customWidth="1"/>
    <col min="18" max="18" width="11.28515625" customWidth="1"/>
    <col min="19" max="19" width="10.5703125" bestFit="1" customWidth="1"/>
    <col min="20" max="20" width="11.28515625" bestFit="1" customWidth="1"/>
  </cols>
  <sheetData>
    <row r="2" spans="2:20" ht="15.75" thickBot="1" x14ac:dyDescent="0.3">
      <c r="J2" s="72" t="s">
        <v>19</v>
      </c>
      <c r="K2" s="145" t="s">
        <v>55</v>
      </c>
      <c r="L2" s="145"/>
      <c r="M2" s="145"/>
    </row>
    <row r="3" spans="2:20" ht="15.75" thickBot="1" x14ac:dyDescent="0.3">
      <c r="C3" s="142" t="s">
        <v>3</v>
      </c>
      <c r="D3" s="144"/>
      <c r="E3" s="144"/>
      <c r="F3" s="144"/>
      <c r="G3" s="143"/>
      <c r="H3" s="21"/>
      <c r="I3" s="21"/>
      <c r="J3" s="73" t="s">
        <v>54</v>
      </c>
      <c r="K3" s="145" t="s">
        <v>57</v>
      </c>
      <c r="L3" s="145"/>
      <c r="M3" s="145"/>
      <c r="O3" s="59"/>
      <c r="P3" s="57"/>
    </row>
    <row r="4" spans="2:20" s="4" customFormat="1" ht="15.75" thickBot="1" x14ac:dyDescent="0.3">
      <c r="C4" s="3"/>
      <c r="D4" s="3"/>
      <c r="E4" s="3"/>
      <c r="F4" s="3"/>
      <c r="G4" s="3"/>
      <c r="H4" s="3"/>
      <c r="I4" s="3"/>
      <c r="J4" s="74" t="s">
        <v>18</v>
      </c>
      <c r="K4" s="146" t="s">
        <v>56</v>
      </c>
      <c r="L4" s="146"/>
      <c r="M4" s="146"/>
      <c r="O4" s="59"/>
      <c r="P4" s="57"/>
      <c r="Q4"/>
    </row>
    <row r="5" spans="2:20" ht="15.75" thickBot="1" x14ac:dyDescent="0.3">
      <c r="C5" s="142" t="s">
        <v>4</v>
      </c>
      <c r="D5" s="143"/>
      <c r="O5" s="59"/>
      <c r="P5" s="57"/>
    </row>
    <row r="6" spans="2:20" s="5" customFormat="1" ht="15.75" thickBot="1" x14ac:dyDescent="0.3">
      <c r="G6" s="140" t="s">
        <v>2</v>
      </c>
      <c r="H6" s="141"/>
      <c r="I6" s="140" t="s">
        <v>13</v>
      </c>
      <c r="J6" s="141"/>
      <c r="M6"/>
      <c r="N6" s="61" t="s">
        <v>46</v>
      </c>
      <c r="O6"/>
      <c r="P6"/>
      <c r="Q6"/>
      <c r="R6"/>
    </row>
    <row r="7" spans="2:20" ht="15.75" thickBot="1" x14ac:dyDescent="0.3">
      <c r="B7" s="36" t="s">
        <v>7</v>
      </c>
      <c r="C7" s="43" t="s">
        <v>5</v>
      </c>
      <c r="D7" s="44" t="s">
        <v>0</v>
      </c>
      <c r="E7" s="9" t="s">
        <v>6</v>
      </c>
      <c r="F7" s="22" t="s">
        <v>1</v>
      </c>
      <c r="G7" s="43" t="s">
        <v>17</v>
      </c>
      <c r="H7" s="43" t="s">
        <v>16</v>
      </c>
      <c r="I7" s="43" t="s">
        <v>17</v>
      </c>
      <c r="J7" s="43" t="s">
        <v>16</v>
      </c>
      <c r="K7" s="43" t="s">
        <v>14</v>
      </c>
      <c r="L7" s="43" t="s">
        <v>15</v>
      </c>
      <c r="N7" s="58" t="s">
        <v>42</v>
      </c>
      <c r="O7" t="s">
        <v>45</v>
      </c>
    </row>
    <row r="8" spans="2:20" x14ac:dyDescent="0.25">
      <c r="B8" s="12">
        <v>1</v>
      </c>
      <c r="C8" s="1" t="s">
        <v>20</v>
      </c>
      <c r="D8" s="16">
        <v>7</v>
      </c>
      <c r="E8" s="20">
        <v>48</v>
      </c>
      <c r="F8" s="23"/>
      <c r="G8" s="30">
        <f>E8-D8</f>
        <v>41</v>
      </c>
      <c r="H8" s="30"/>
      <c r="I8" s="65">
        <f>G8/D8</f>
        <v>5.8571428571428568</v>
      </c>
      <c r="J8" s="1"/>
      <c r="K8" s="1" t="s">
        <v>19</v>
      </c>
      <c r="L8" s="1"/>
      <c r="N8" s="59" t="s">
        <v>26</v>
      </c>
      <c r="O8" s="57">
        <v>3</v>
      </c>
    </row>
    <row r="9" spans="2:20" ht="18.75" customHeight="1" x14ac:dyDescent="0.25">
      <c r="B9" s="12">
        <v>2</v>
      </c>
      <c r="C9" s="50" t="s">
        <v>21</v>
      </c>
      <c r="D9" s="38">
        <v>10</v>
      </c>
      <c r="E9" s="15">
        <v>21</v>
      </c>
      <c r="F9" s="24"/>
      <c r="G9" s="12">
        <f t="shared" ref="G9:G15" si="0">E9-D9</f>
        <v>11</v>
      </c>
      <c r="H9" s="12"/>
      <c r="I9" s="42">
        <f t="shared" ref="I9:I14" si="1">G9/D9</f>
        <v>1.1000000000000001</v>
      </c>
      <c r="J9" s="26"/>
      <c r="K9" s="26" t="s">
        <v>19</v>
      </c>
      <c r="L9" s="26"/>
      <c r="M9" s="4"/>
      <c r="N9" s="59" t="s">
        <v>19</v>
      </c>
      <c r="O9" s="57">
        <v>2</v>
      </c>
      <c r="Q9" s="4"/>
      <c r="R9" s="4"/>
      <c r="S9" s="57"/>
      <c r="T9" s="57"/>
    </row>
    <row r="10" spans="2:20" ht="45" x14ac:dyDescent="0.25">
      <c r="B10" s="12">
        <v>3</v>
      </c>
      <c r="C10" s="46" t="s">
        <v>27</v>
      </c>
      <c r="D10" s="38">
        <v>10</v>
      </c>
      <c r="E10" s="15">
        <v>27</v>
      </c>
      <c r="F10" s="24"/>
      <c r="G10" s="12">
        <f t="shared" si="0"/>
        <v>17</v>
      </c>
      <c r="H10" s="12"/>
      <c r="I10" s="42">
        <f t="shared" si="1"/>
        <v>1.7</v>
      </c>
      <c r="J10" s="26"/>
      <c r="K10" s="26" t="s">
        <v>19</v>
      </c>
      <c r="L10" s="68" t="s">
        <v>51</v>
      </c>
      <c r="N10" s="59" t="s">
        <v>44</v>
      </c>
      <c r="O10" s="57">
        <v>5</v>
      </c>
    </row>
    <row r="11" spans="2:20" ht="30" x14ac:dyDescent="0.25">
      <c r="B11" s="12">
        <v>4</v>
      </c>
      <c r="C11" s="45" t="s">
        <v>28</v>
      </c>
      <c r="D11" s="38">
        <v>24</v>
      </c>
      <c r="E11" s="15">
        <v>44</v>
      </c>
      <c r="F11" s="24"/>
      <c r="G11" s="12">
        <f t="shared" si="0"/>
        <v>20</v>
      </c>
      <c r="H11" s="12"/>
      <c r="I11" s="42">
        <f t="shared" si="1"/>
        <v>0.83333333333333337</v>
      </c>
      <c r="J11" s="26"/>
      <c r="K11" s="26" t="s">
        <v>19</v>
      </c>
      <c r="L11" s="26"/>
      <c r="N11" s="59"/>
    </row>
    <row r="12" spans="2:20" ht="60" x14ac:dyDescent="0.25">
      <c r="B12" s="12">
        <v>5</v>
      </c>
      <c r="C12" s="45" t="s">
        <v>38</v>
      </c>
      <c r="D12" s="38">
        <v>5</v>
      </c>
      <c r="E12" s="15">
        <v>8</v>
      </c>
      <c r="F12" s="24"/>
      <c r="G12" s="12">
        <f t="shared" si="0"/>
        <v>3</v>
      </c>
      <c r="H12" s="12"/>
      <c r="I12" s="42">
        <f t="shared" si="1"/>
        <v>0.6</v>
      </c>
      <c r="J12" s="26"/>
      <c r="K12" s="26" t="s">
        <v>26</v>
      </c>
      <c r="L12" s="46" t="s">
        <v>39</v>
      </c>
    </row>
    <row r="13" spans="2:20" x14ac:dyDescent="0.25">
      <c r="B13" s="12">
        <v>6</v>
      </c>
      <c r="C13" s="12"/>
      <c r="D13" s="38"/>
      <c r="E13" s="15"/>
      <c r="F13" s="24"/>
      <c r="G13" s="12">
        <f t="shared" si="0"/>
        <v>0</v>
      </c>
      <c r="H13" s="12"/>
      <c r="I13" s="42" t="e">
        <f t="shared" si="1"/>
        <v>#DIV/0!</v>
      </c>
      <c r="J13" s="26"/>
      <c r="K13" s="26"/>
      <c r="L13" s="26"/>
    </row>
    <row r="14" spans="2:20" ht="15.75" thickBot="1" x14ac:dyDescent="0.3">
      <c r="B14" s="13">
        <v>7</v>
      </c>
      <c r="C14" s="13"/>
      <c r="D14" s="39"/>
      <c r="E14" s="19"/>
      <c r="F14" s="25"/>
      <c r="G14" s="18">
        <f t="shared" si="0"/>
        <v>0</v>
      </c>
      <c r="H14" s="18"/>
      <c r="I14" s="54" t="e">
        <f t="shared" si="1"/>
        <v>#DIV/0!</v>
      </c>
      <c r="J14" s="31"/>
      <c r="K14" s="31"/>
      <c r="L14" s="31"/>
    </row>
    <row r="15" spans="2:20" ht="15.75" thickBot="1" x14ac:dyDescent="0.3">
      <c r="C15" s="14" t="s">
        <v>8</v>
      </c>
      <c r="D15" s="6">
        <f>SUM(D8:D14)</f>
        <v>56</v>
      </c>
      <c r="E15" s="7">
        <f>SUM(E8:E14)</f>
        <v>148</v>
      </c>
      <c r="F15" s="6">
        <f>SUM(F8:F14)</f>
        <v>0</v>
      </c>
      <c r="G15" s="7">
        <f t="shared" si="0"/>
        <v>92</v>
      </c>
      <c r="H15" s="7"/>
      <c r="I15" s="55">
        <f>G15/D15</f>
        <v>1.6428571428571428</v>
      </c>
      <c r="J15" s="32"/>
      <c r="K15" s="32" t="s">
        <v>19</v>
      </c>
      <c r="L15" s="32"/>
    </row>
    <row r="17" spans="2:15" ht="15.75" thickBot="1" x14ac:dyDescent="0.3"/>
    <row r="18" spans="2:15" ht="15.75" thickBot="1" x14ac:dyDescent="0.3">
      <c r="C18" s="142" t="s">
        <v>9</v>
      </c>
      <c r="D18" s="143"/>
    </row>
    <row r="19" spans="2:15" ht="15.75" thickBot="1" x14ac:dyDescent="0.3">
      <c r="B19" s="5"/>
      <c r="C19" s="5"/>
      <c r="D19" s="5"/>
      <c r="E19" s="5"/>
      <c r="F19" s="5"/>
      <c r="G19" s="140" t="s">
        <v>2</v>
      </c>
      <c r="H19" s="141"/>
      <c r="I19" s="140" t="s">
        <v>13</v>
      </c>
      <c r="J19" s="141"/>
      <c r="N19" s="61" t="s">
        <v>47</v>
      </c>
    </row>
    <row r="20" spans="2:15" ht="15.75" thickBot="1" x14ac:dyDescent="0.3">
      <c r="B20" s="22" t="s">
        <v>7</v>
      </c>
      <c r="C20" s="43" t="s">
        <v>5</v>
      </c>
      <c r="D20" s="44" t="s">
        <v>0</v>
      </c>
      <c r="E20" s="9" t="s">
        <v>6</v>
      </c>
      <c r="F20" s="43" t="s">
        <v>1</v>
      </c>
      <c r="G20" s="43" t="s">
        <v>17</v>
      </c>
      <c r="H20" s="43" t="s">
        <v>16</v>
      </c>
      <c r="I20" s="43" t="s">
        <v>17</v>
      </c>
      <c r="J20" s="43" t="s">
        <v>16</v>
      </c>
      <c r="K20" s="22" t="s">
        <v>14</v>
      </c>
      <c r="L20" s="69" t="s">
        <v>15</v>
      </c>
      <c r="N20" s="58" t="s">
        <v>42</v>
      </c>
      <c r="O20" t="s">
        <v>45</v>
      </c>
    </row>
    <row r="21" spans="2:15" x14ac:dyDescent="0.25">
      <c r="B21" s="62">
        <v>1</v>
      </c>
      <c r="C21" s="63" t="s">
        <v>22</v>
      </c>
      <c r="D21" s="16">
        <v>60</v>
      </c>
      <c r="E21" s="20">
        <v>19</v>
      </c>
      <c r="F21" s="1"/>
      <c r="G21" s="30">
        <f>E21-D21</f>
        <v>-41</v>
      </c>
      <c r="H21" s="30"/>
      <c r="I21" s="64">
        <f>G21/D21</f>
        <v>-0.68333333333333335</v>
      </c>
      <c r="J21" s="1"/>
      <c r="K21" s="23" t="s">
        <v>18</v>
      </c>
      <c r="L21" s="75"/>
      <c r="N21" s="59" t="s">
        <v>26</v>
      </c>
      <c r="O21" s="57">
        <v>1</v>
      </c>
    </row>
    <row r="22" spans="2:15" x14ac:dyDescent="0.25">
      <c r="B22" s="24">
        <v>2</v>
      </c>
      <c r="C22" s="50" t="s">
        <v>29</v>
      </c>
      <c r="D22" s="38">
        <v>21</v>
      </c>
      <c r="E22" s="15">
        <v>37</v>
      </c>
      <c r="F22" s="12"/>
      <c r="G22" s="30">
        <f t="shared" ref="G22:G28" si="2">E22-D22</f>
        <v>16</v>
      </c>
      <c r="H22" s="12"/>
      <c r="I22" s="41">
        <f t="shared" ref="I22:I28" si="3">G22/D22</f>
        <v>0.76190476190476186</v>
      </c>
      <c r="J22" s="26"/>
      <c r="K22" s="76" t="s">
        <v>19</v>
      </c>
      <c r="L22" s="26"/>
      <c r="N22" s="59" t="s">
        <v>18</v>
      </c>
      <c r="O22" s="57">
        <v>4</v>
      </c>
    </row>
    <row r="23" spans="2:15" ht="75" x14ac:dyDescent="0.25">
      <c r="B23" s="24">
        <v>3</v>
      </c>
      <c r="C23" s="40" t="s">
        <v>30</v>
      </c>
      <c r="D23" s="38">
        <v>11</v>
      </c>
      <c r="E23" s="15">
        <v>11</v>
      </c>
      <c r="F23" s="12"/>
      <c r="G23" s="30">
        <f t="shared" si="2"/>
        <v>0</v>
      </c>
      <c r="H23" s="12"/>
      <c r="I23" s="41">
        <f t="shared" si="3"/>
        <v>0</v>
      </c>
      <c r="J23" s="26"/>
      <c r="K23" s="76" t="s">
        <v>18</v>
      </c>
      <c r="L23" s="40" t="s">
        <v>52</v>
      </c>
      <c r="N23" s="59" t="s">
        <v>43</v>
      </c>
      <c r="O23" s="57">
        <v>1</v>
      </c>
    </row>
    <row r="24" spans="2:15" ht="60" x14ac:dyDescent="0.25">
      <c r="B24" s="24">
        <v>4</v>
      </c>
      <c r="C24" s="40" t="s">
        <v>31</v>
      </c>
      <c r="D24" s="38"/>
      <c r="E24" s="15"/>
      <c r="F24" s="12"/>
      <c r="G24" s="30">
        <f t="shared" si="2"/>
        <v>0</v>
      </c>
      <c r="H24" s="12"/>
      <c r="I24" s="41" t="e">
        <f t="shared" si="3"/>
        <v>#DIV/0!</v>
      </c>
      <c r="J24" s="26"/>
      <c r="K24" s="76"/>
      <c r="L24" s="46" t="s">
        <v>32</v>
      </c>
      <c r="N24" s="59" t="s">
        <v>44</v>
      </c>
      <c r="O24" s="57">
        <v>6</v>
      </c>
    </row>
    <row r="25" spans="2:15" x14ac:dyDescent="0.25">
      <c r="B25" s="24">
        <v>5</v>
      </c>
      <c r="C25" s="40" t="s">
        <v>40</v>
      </c>
      <c r="D25" s="38">
        <v>55</v>
      </c>
      <c r="E25" s="15">
        <v>40</v>
      </c>
      <c r="F25" s="12"/>
      <c r="G25" s="30">
        <f t="shared" si="2"/>
        <v>-15</v>
      </c>
      <c r="H25" s="12"/>
      <c r="I25" s="41">
        <f t="shared" si="3"/>
        <v>-0.27272727272727271</v>
      </c>
      <c r="J25" s="26"/>
      <c r="K25" s="76" t="s">
        <v>18</v>
      </c>
      <c r="L25" s="26"/>
    </row>
    <row r="26" spans="2:15" ht="30" x14ac:dyDescent="0.25">
      <c r="B26" s="24">
        <v>6</v>
      </c>
      <c r="C26" s="40" t="s">
        <v>41</v>
      </c>
      <c r="D26" s="38">
        <v>45</v>
      </c>
      <c r="E26" s="15">
        <v>25</v>
      </c>
      <c r="F26" s="12"/>
      <c r="G26" s="30">
        <f t="shared" si="2"/>
        <v>-20</v>
      </c>
      <c r="H26" s="12"/>
      <c r="I26" s="41">
        <f t="shared" si="3"/>
        <v>-0.44444444444444442</v>
      </c>
      <c r="J26" s="26"/>
      <c r="K26" s="76" t="s">
        <v>18</v>
      </c>
      <c r="L26" s="26"/>
    </row>
    <row r="27" spans="2:15" ht="15.75" thickBot="1" x14ac:dyDescent="0.3">
      <c r="B27" s="48">
        <v>7</v>
      </c>
      <c r="C27" s="13"/>
      <c r="D27" s="39"/>
      <c r="E27" s="19"/>
      <c r="F27" s="18"/>
      <c r="G27" s="53">
        <f t="shared" si="2"/>
        <v>0</v>
      </c>
      <c r="H27" s="18"/>
      <c r="I27" s="51" t="e">
        <f t="shared" si="3"/>
        <v>#DIV/0!</v>
      </c>
      <c r="J27" s="31"/>
      <c r="K27" s="77"/>
      <c r="L27" s="27"/>
    </row>
    <row r="28" spans="2:15" ht="15.75" thickBot="1" x14ac:dyDescent="0.3">
      <c r="C28" s="49" t="s">
        <v>8</v>
      </c>
      <c r="D28" s="6">
        <f>SUM(D21:D27)</f>
        <v>192</v>
      </c>
      <c r="E28" s="7">
        <f>SUM(E21:E27)</f>
        <v>132</v>
      </c>
      <c r="F28" s="7">
        <f>SUM(F21:F27)</f>
        <v>0</v>
      </c>
      <c r="G28" s="7">
        <f t="shared" si="2"/>
        <v>-60</v>
      </c>
      <c r="H28" s="7"/>
      <c r="I28" s="52">
        <f t="shared" si="3"/>
        <v>-0.3125</v>
      </c>
      <c r="J28" s="32"/>
      <c r="K28" s="32" t="s">
        <v>18</v>
      </c>
      <c r="L28" s="32"/>
    </row>
    <row r="30" spans="2:15" ht="15.75" thickBot="1" x14ac:dyDescent="0.3"/>
    <row r="31" spans="2:15" ht="15.75" thickBot="1" x14ac:dyDescent="0.3">
      <c r="C31" s="142" t="s">
        <v>10</v>
      </c>
      <c r="D31" s="143"/>
    </row>
    <row r="32" spans="2:15" ht="15.75" thickBot="1" x14ac:dyDescent="0.3">
      <c r="B32" s="5"/>
      <c r="C32" s="5"/>
      <c r="D32" s="5"/>
      <c r="E32" s="5"/>
      <c r="F32" s="5"/>
      <c r="G32" s="140" t="s">
        <v>2</v>
      </c>
      <c r="H32" s="141"/>
      <c r="I32" s="140" t="s">
        <v>13</v>
      </c>
      <c r="J32" s="141"/>
      <c r="N32" s="61" t="s">
        <v>48</v>
      </c>
    </row>
    <row r="33" spans="2:15" ht="15.75" thickBot="1" x14ac:dyDescent="0.3">
      <c r="B33" s="43" t="s">
        <v>7</v>
      </c>
      <c r="C33" s="9" t="s">
        <v>5</v>
      </c>
      <c r="D33" s="43" t="s">
        <v>0</v>
      </c>
      <c r="E33" s="9" t="s">
        <v>6</v>
      </c>
      <c r="F33" s="43" t="s">
        <v>1</v>
      </c>
      <c r="G33" s="22" t="s">
        <v>17</v>
      </c>
      <c r="H33" s="43" t="s">
        <v>16</v>
      </c>
      <c r="I33" s="43" t="s">
        <v>17</v>
      </c>
      <c r="J33" s="43" t="s">
        <v>16</v>
      </c>
      <c r="K33" s="43" t="s">
        <v>14</v>
      </c>
      <c r="L33" s="43" t="s">
        <v>15</v>
      </c>
    </row>
    <row r="34" spans="2:15" ht="90" x14ac:dyDescent="0.25">
      <c r="B34" s="11">
        <v>1</v>
      </c>
      <c r="C34" s="37" t="s">
        <v>33</v>
      </c>
      <c r="D34" s="1">
        <v>25</v>
      </c>
      <c r="E34" s="2">
        <v>35</v>
      </c>
      <c r="F34" s="1"/>
      <c r="G34" s="20">
        <f>E34-D34</f>
        <v>10</v>
      </c>
      <c r="H34" s="30"/>
      <c r="I34" s="30">
        <f>G34/D34</f>
        <v>0.4</v>
      </c>
      <c r="J34" s="1"/>
      <c r="K34" s="1" t="s">
        <v>26</v>
      </c>
      <c r="L34" s="78" t="s">
        <v>53</v>
      </c>
    </row>
    <row r="35" spans="2:15" x14ac:dyDescent="0.25">
      <c r="B35" s="12">
        <v>2</v>
      </c>
      <c r="C35" s="15"/>
      <c r="D35" s="12"/>
      <c r="E35" s="15"/>
      <c r="F35" s="12"/>
      <c r="G35" s="20">
        <f t="shared" ref="G35:G41" si="4">E35-D35</f>
        <v>0</v>
      </c>
      <c r="H35" s="12"/>
      <c r="I35" s="12" t="e">
        <f t="shared" ref="I35:I41" si="5">G35/D35</f>
        <v>#DIV/0!</v>
      </c>
      <c r="J35" s="26"/>
      <c r="K35" s="26"/>
      <c r="L35" s="26"/>
    </row>
    <row r="36" spans="2:15" x14ac:dyDescent="0.25">
      <c r="B36" s="12">
        <v>3</v>
      </c>
      <c r="C36" s="15"/>
      <c r="D36" s="12"/>
      <c r="E36" s="15"/>
      <c r="F36" s="12"/>
      <c r="G36" s="20">
        <f t="shared" si="4"/>
        <v>0</v>
      </c>
      <c r="H36" s="12"/>
      <c r="I36" s="12" t="e">
        <f t="shared" si="5"/>
        <v>#DIV/0!</v>
      </c>
      <c r="J36" s="26"/>
      <c r="K36" s="26"/>
      <c r="L36" s="26"/>
    </row>
    <row r="37" spans="2:15" x14ac:dyDescent="0.25">
      <c r="B37" s="12">
        <v>4</v>
      </c>
      <c r="C37" s="15"/>
      <c r="D37" s="12"/>
      <c r="E37" s="15"/>
      <c r="F37" s="12"/>
      <c r="G37" s="20">
        <f t="shared" si="4"/>
        <v>0</v>
      </c>
      <c r="H37" s="12"/>
      <c r="I37" s="12" t="e">
        <f t="shared" si="5"/>
        <v>#DIV/0!</v>
      </c>
      <c r="J37" s="26"/>
      <c r="K37" s="26"/>
      <c r="L37" s="26"/>
    </row>
    <row r="38" spans="2:15" x14ac:dyDescent="0.25">
      <c r="B38" s="12">
        <v>5</v>
      </c>
      <c r="C38" s="15"/>
      <c r="D38" s="12"/>
      <c r="E38" s="15"/>
      <c r="F38" s="12"/>
      <c r="G38" s="20">
        <f t="shared" si="4"/>
        <v>0</v>
      </c>
      <c r="H38" s="12"/>
      <c r="I38" s="12" t="e">
        <f t="shared" si="5"/>
        <v>#DIV/0!</v>
      </c>
      <c r="J38" s="26"/>
      <c r="K38" s="26"/>
      <c r="L38" s="26"/>
    </row>
    <row r="39" spans="2:15" x14ac:dyDescent="0.25">
      <c r="B39" s="12">
        <v>6</v>
      </c>
      <c r="C39" s="15"/>
      <c r="D39" s="12"/>
      <c r="E39" s="15"/>
      <c r="F39" s="12"/>
      <c r="G39" s="20">
        <f t="shared" si="4"/>
        <v>0</v>
      </c>
      <c r="H39" s="12"/>
      <c r="I39" s="12" t="e">
        <f t="shared" si="5"/>
        <v>#DIV/0!</v>
      </c>
      <c r="J39" s="26"/>
      <c r="K39" s="26"/>
      <c r="L39" s="26"/>
    </row>
    <row r="40" spans="2:15" ht="15.75" thickBot="1" x14ac:dyDescent="0.3">
      <c r="B40" s="13">
        <v>7</v>
      </c>
      <c r="C40" s="17"/>
      <c r="D40" s="18"/>
      <c r="E40" s="19"/>
      <c r="F40" s="18"/>
      <c r="G40" s="56">
        <f t="shared" si="4"/>
        <v>0</v>
      </c>
      <c r="H40" s="18"/>
      <c r="I40" s="18" t="e">
        <f t="shared" si="5"/>
        <v>#DIV/0!</v>
      </c>
      <c r="J40" s="31"/>
      <c r="K40" s="31"/>
      <c r="L40" s="27"/>
    </row>
    <row r="41" spans="2:15" ht="15.75" thickBot="1" x14ac:dyDescent="0.3">
      <c r="C41" s="14" t="s">
        <v>8</v>
      </c>
      <c r="D41" s="6">
        <f>SUM(D34:D40)</f>
        <v>25</v>
      </c>
      <c r="E41" s="7">
        <f>SUM(E34:E40)</f>
        <v>35</v>
      </c>
      <c r="F41" s="7">
        <f>SUM(F34:F40)</f>
        <v>0</v>
      </c>
      <c r="G41" s="7">
        <f t="shared" si="4"/>
        <v>10</v>
      </c>
      <c r="H41" s="7"/>
      <c r="I41" s="7">
        <f t="shared" si="5"/>
        <v>0.4</v>
      </c>
      <c r="J41" s="32"/>
      <c r="K41" s="32" t="s">
        <v>26</v>
      </c>
      <c r="L41" s="32"/>
    </row>
    <row r="43" spans="2:15" ht="15.75" thickBot="1" x14ac:dyDescent="0.3"/>
    <row r="44" spans="2:15" ht="15.75" thickBot="1" x14ac:dyDescent="0.3">
      <c r="C44" s="142" t="s">
        <v>11</v>
      </c>
      <c r="D44" s="143"/>
    </row>
    <row r="45" spans="2:15" ht="15.75" thickBot="1" x14ac:dyDescent="0.3">
      <c r="B45" s="5"/>
      <c r="C45" s="5"/>
      <c r="D45" s="5"/>
      <c r="E45" s="5"/>
      <c r="F45" s="5"/>
      <c r="G45" s="140" t="s">
        <v>2</v>
      </c>
      <c r="H45" s="141"/>
      <c r="I45" s="140" t="s">
        <v>13</v>
      </c>
      <c r="J45" s="141"/>
      <c r="N45" s="61" t="s">
        <v>49</v>
      </c>
    </row>
    <row r="46" spans="2:15" ht="15.75" thickBot="1" x14ac:dyDescent="0.3">
      <c r="B46" s="22" t="s">
        <v>7</v>
      </c>
      <c r="C46" s="36" t="s">
        <v>5</v>
      </c>
      <c r="D46" s="44" t="s">
        <v>0</v>
      </c>
      <c r="E46" s="9" t="s">
        <v>6</v>
      </c>
      <c r="F46" s="43" t="s">
        <v>1</v>
      </c>
      <c r="G46" s="22" t="s">
        <v>17</v>
      </c>
      <c r="H46" s="43" t="s">
        <v>16</v>
      </c>
      <c r="I46" s="43" t="s">
        <v>17</v>
      </c>
      <c r="J46" s="43" t="s">
        <v>16</v>
      </c>
      <c r="K46" s="43" t="s">
        <v>14</v>
      </c>
      <c r="L46" s="43" t="s">
        <v>15</v>
      </c>
      <c r="N46" s="58" t="s">
        <v>42</v>
      </c>
      <c r="O46" t="s">
        <v>45</v>
      </c>
    </row>
    <row r="47" spans="2:15" x14ac:dyDescent="0.25">
      <c r="B47" s="47">
        <v>1</v>
      </c>
      <c r="C47" s="50" t="s">
        <v>23</v>
      </c>
      <c r="D47" s="16">
        <v>10</v>
      </c>
      <c r="E47" s="20">
        <v>30</v>
      </c>
      <c r="F47" s="1"/>
      <c r="G47" s="20">
        <f>E47-D47</f>
        <v>20</v>
      </c>
      <c r="H47" s="30"/>
      <c r="I47" s="66">
        <f>G47/D47</f>
        <v>2</v>
      </c>
      <c r="J47" s="1"/>
      <c r="K47" s="1" t="s">
        <v>19</v>
      </c>
      <c r="L47" s="1"/>
      <c r="N47" s="59" t="s">
        <v>26</v>
      </c>
      <c r="O47" s="57">
        <v>1</v>
      </c>
    </row>
    <row r="48" spans="2:15" x14ac:dyDescent="0.25">
      <c r="B48" s="24">
        <v>2</v>
      </c>
      <c r="C48" s="50" t="s">
        <v>34</v>
      </c>
      <c r="D48" s="38">
        <v>47</v>
      </c>
      <c r="E48" s="15">
        <v>87</v>
      </c>
      <c r="F48" s="12"/>
      <c r="G48" s="20">
        <f t="shared" ref="G48:G54" si="6">E48-D48</f>
        <v>40</v>
      </c>
      <c r="H48" s="12"/>
      <c r="I48" s="42">
        <f t="shared" ref="I48:I54" si="7">G48/D48</f>
        <v>0.85106382978723405</v>
      </c>
      <c r="J48" s="26"/>
      <c r="K48" s="26" t="s">
        <v>19</v>
      </c>
      <c r="L48" s="26"/>
      <c r="N48" s="59" t="s">
        <v>18</v>
      </c>
      <c r="O48" s="57">
        <v>1</v>
      </c>
    </row>
    <row r="49" spans="2:15" ht="45" x14ac:dyDescent="0.25">
      <c r="B49" s="24">
        <v>3</v>
      </c>
      <c r="C49" s="40" t="s">
        <v>35</v>
      </c>
      <c r="D49" s="38">
        <v>28</v>
      </c>
      <c r="E49" s="15">
        <v>28</v>
      </c>
      <c r="F49" s="12"/>
      <c r="G49" s="20">
        <f t="shared" si="6"/>
        <v>0</v>
      </c>
      <c r="H49" s="12"/>
      <c r="I49" s="42">
        <f t="shared" si="7"/>
        <v>0</v>
      </c>
      <c r="J49" s="26"/>
      <c r="K49" s="26" t="s">
        <v>18</v>
      </c>
      <c r="L49" s="46" t="s">
        <v>36</v>
      </c>
      <c r="N49" s="59" t="s">
        <v>19</v>
      </c>
      <c r="O49" s="57">
        <v>1</v>
      </c>
    </row>
    <row r="50" spans="2:15" x14ac:dyDescent="0.25">
      <c r="B50" s="24">
        <v>4</v>
      </c>
      <c r="C50" s="12"/>
      <c r="D50" s="38"/>
      <c r="E50" s="15"/>
      <c r="F50" s="12"/>
      <c r="G50" s="20">
        <f t="shared" si="6"/>
        <v>0</v>
      </c>
      <c r="H50" s="12"/>
      <c r="I50" s="42" t="e">
        <f t="shared" si="7"/>
        <v>#DIV/0!</v>
      </c>
      <c r="J50" s="26"/>
      <c r="K50" s="26"/>
      <c r="L50" s="26"/>
      <c r="N50" s="59" t="s">
        <v>44</v>
      </c>
      <c r="O50" s="57">
        <v>3</v>
      </c>
    </row>
    <row r="51" spans="2:15" x14ac:dyDescent="0.25">
      <c r="B51" s="24">
        <v>5</v>
      </c>
      <c r="C51" s="12"/>
      <c r="D51" s="38"/>
      <c r="E51" s="15"/>
      <c r="F51" s="12"/>
      <c r="G51" s="20">
        <f t="shared" si="6"/>
        <v>0</v>
      </c>
      <c r="H51" s="12"/>
      <c r="I51" s="42" t="e">
        <f t="shared" si="7"/>
        <v>#DIV/0!</v>
      </c>
      <c r="J51" s="26"/>
      <c r="K51" s="26"/>
      <c r="L51" s="26"/>
    </row>
    <row r="52" spans="2:15" x14ac:dyDescent="0.25">
      <c r="B52" s="24">
        <v>6</v>
      </c>
      <c r="C52" s="12"/>
      <c r="D52" s="38"/>
      <c r="E52" s="15"/>
      <c r="F52" s="12"/>
      <c r="G52" s="20">
        <f t="shared" si="6"/>
        <v>0</v>
      </c>
      <c r="H52" s="12"/>
      <c r="I52" s="42" t="e">
        <f t="shared" si="7"/>
        <v>#DIV/0!</v>
      </c>
      <c r="J52" s="26"/>
      <c r="K52" s="26"/>
      <c r="L52" s="26"/>
    </row>
    <row r="53" spans="2:15" ht="15.75" thickBot="1" x14ac:dyDescent="0.3">
      <c r="B53" s="48">
        <v>7</v>
      </c>
      <c r="C53" s="13"/>
      <c r="D53" s="39"/>
      <c r="E53" s="19"/>
      <c r="F53" s="18"/>
      <c r="G53" s="56">
        <f t="shared" si="6"/>
        <v>0</v>
      </c>
      <c r="H53" s="18"/>
      <c r="I53" s="42" t="e">
        <f t="shared" si="7"/>
        <v>#DIV/0!</v>
      </c>
      <c r="J53" s="31"/>
      <c r="K53" s="31"/>
      <c r="L53" s="31"/>
    </row>
    <row r="54" spans="2:15" ht="15.75" thickBot="1" x14ac:dyDescent="0.3">
      <c r="C54" s="14" t="s">
        <v>8</v>
      </c>
      <c r="D54" s="6">
        <f>SUM(D47:D53)</f>
        <v>85</v>
      </c>
      <c r="E54" s="7">
        <f>SUM(E47:E53)</f>
        <v>145</v>
      </c>
      <c r="F54" s="7">
        <f>SUM(F47:F53)</f>
        <v>0</v>
      </c>
      <c r="G54" s="7">
        <f t="shared" si="6"/>
        <v>60</v>
      </c>
      <c r="H54" s="7"/>
      <c r="I54" s="42">
        <f t="shared" si="7"/>
        <v>0.70588235294117652</v>
      </c>
      <c r="J54" s="32"/>
      <c r="K54" s="32" t="s">
        <v>19</v>
      </c>
      <c r="L54" s="32"/>
    </row>
    <row r="57" spans="2:15" ht="15.75" thickBot="1" x14ac:dyDescent="0.3"/>
    <row r="58" spans="2:15" ht="15.75" thickBot="1" x14ac:dyDescent="0.3">
      <c r="C58" s="142" t="s">
        <v>12</v>
      </c>
      <c r="D58" s="143"/>
    </row>
    <row r="59" spans="2:15" ht="15.75" thickBot="1" x14ac:dyDescent="0.3">
      <c r="B59" s="5"/>
      <c r="C59" s="5"/>
      <c r="D59" s="5"/>
      <c r="E59" s="5"/>
      <c r="F59" s="5"/>
      <c r="G59" s="140" t="s">
        <v>2</v>
      </c>
      <c r="H59" s="141"/>
      <c r="I59" s="140" t="s">
        <v>13</v>
      </c>
      <c r="J59" s="141"/>
      <c r="N59" s="61" t="s">
        <v>50</v>
      </c>
    </row>
    <row r="60" spans="2:15" ht="15.75" thickBot="1" x14ac:dyDescent="0.3">
      <c r="B60" s="22" t="s">
        <v>7</v>
      </c>
      <c r="C60" s="43" t="s">
        <v>5</v>
      </c>
      <c r="D60" s="44" t="s">
        <v>0</v>
      </c>
      <c r="E60" s="9" t="s">
        <v>6</v>
      </c>
      <c r="F60" s="43" t="s">
        <v>1</v>
      </c>
      <c r="G60" s="22" t="s">
        <v>17</v>
      </c>
      <c r="H60" s="43" t="s">
        <v>16</v>
      </c>
      <c r="I60" s="43" t="s">
        <v>17</v>
      </c>
      <c r="J60" s="44" t="s">
        <v>16</v>
      </c>
      <c r="K60" s="43" t="s">
        <v>14</v>
      </c>
      <c r="L60" s="43" t="s">
        <v>15</v>
      </c>
      <c r="N60" s="58" t="s">
        <v>42</v>
      </c>
      <c r="O60" t="s">
        <v>45</v>
      </c>
    </row>
    <row r="61" spans="2:15" ht="30" x14ac:dyDescent="0.25">
      <c r="B61" s="47">
        <v>1</v>
      </c>
      <c r="C61" s="67" t="s">
        <v>24</v>
      </c>
      <c r="D61" s="16">
        <v>10</v>
      </c>
      <c r="E61" s="20">
        <v>86</v>
      </c>
      <c r="F61" s="1"/>
      <c r="G61" s="20">
        <f>E61-D61</f>
        <v>76</v>
      </c>
      <c r="H61" s="30"/>
      <c r="I61" s="66">
        <f>G61/D61</f>
        <v>7.6</v>
      </c>
      <c r="J61" s="1"/>
      <c r="K61" s="1" t="s">
        <v>19</v>
      </c>
      <c r="L61" s="1"/>
      <c r="N61" s="59" t="s">
        <v>19</v>
      </c>
      <c r="O61" s="57">
        <v>3</v>
      </c>
    </row>
    <row r="62" spans="2:15" x14ac:dyDescent="0.25">
      <c r="B62" s="24">
        <v>2</v>
      </c>
      <c r="C62" s="50" t="s">
        <v>25</v>
      </c>
      <c r="D62" s="38">
        <v>10</v>
      </c>
      <c r="E62" s="15">
        <v>154</v>
      </c>
      <c r="F62" s="12"/>
      <c r="G62" s="20">
        <f t="shared" ref="G62:G68" si="8">E62-D62</f>
        <v>144</v>
      </c>
      <c r="H62" s="12"/>
      <c r="I62" s="42">
        <f t="shared" ref="I62:I68" si="9">G62/D62</f>
        <v>14.4</v>
      </c>
      <c r="J62" s="26"/>
      <c r="K62" s="26" t="s">
        <v>19</v>
      </c>
      <c r="L62" s="26"/>
      <c r="N62" s="59" t="s">
        <v>44</v>
      </c>
      <c r="O62" s="57">
        <v>3</v>
      </c>
    </row>
    <row r="63" spans="2:15" x14ac:dyDescent="0.25">
      <c r="B63" s="24">
        <v>3</v>
      </c>
      <c r="C63" s="50" t="s">
        <v>37</v>
      </c>
      <c r="D63" s="38">
        <v>8</v>
      </c>
      <c r="E63" s="15">
        <v>25</v>
      </c>
      <c r="F63" s="12"/>
      <c r="G63" s="20">
        <f t="shared" si="8"/>
        <v>17</v>
      </c>
      <c r="H63" s="12"/>
      <c r="I63" s="42">
        <f t="shared" si="9"/>
        <v>2.125</v>
      </c>
      <c r="J63" s="26"/>
      <c r="K63" s="26" t="s">
        <v>19</v>
      </c>
      <c r="L63" s="26"/>
    </row>
    <row r="64" spans="2:15" x14ac:dyDescent="0.25">
      <c r="B64" s="24">
        <v>4</v>
      </c>
      <c r="C64" s="12"/>
      <c r="D64" s="38"/>
      <c r="E64" s="15"/>
      <c r="F64" s="12"/>
      <c r="G64" s="20">
        <f t="shared" si="8"/>
        <v>0</v>
      </c>
      <c r="H64" s="12"/>
      <c r="I64" s="42" t="e">
        <f t="shared" si="9"/>
        <v>#DIV/0!</v>
      </c>
      <c r="J64" s="26"/>
      <c r="K64" s="26"/>
      <c r="L64" s="26"/>
    </row>
    <row r="65" spans="2:12" x14ac:dyDescent="0.25">
      <c r="B65" s="24">
        <v>5</v>
      </c>
      <c r="C65" s="12"/>
      <c r="D65" s="38"/>
      <c r="E65" s="15"/>
      <c r="F65" s="12"/>
      <c r="G65" s="20">
        <f t="shared" si="8"/>
        <v>0</v>
      </c>
      <c r="H65" s="12"/>
      <c r="I65" s="42" t="e">
        <f t="shared" si="9"/>
        <v>#DIV/0!</v>
      </c>
      <c r="J65" s="26"/>
      <c r="K65" s="26"/>
      <c r="L65" s="26"/>
    </row>
    <row r="66" spans="2:12" x14ac:dyDescent="0.25">
      <c r="B66" s="24">
        <v>6</v>
      </c>
      <c r="C66" s="12"/>
      <c r="D66" s="38"/>
      <c r="E66" s="15"/>
      <c r="F66" s="12"/>
      <c r="G66" s="20">
        <f t="shared" si="8"/>
        <v>0</v>
      </c>
      <c r="H66" s="12"/>
      <c r="I66" s="42" t="e">
        <f t="shared" si="9"/>
        <v>#DIV/0!</v>
      </c>
      <c r="J66" s="26"/>
      <c r="K66" s="26"/>
      <c r="L66" s="26"/>
    </row>
    <row r="67" spans="2:12" ht="15.75" thickBot="1" x14ac:dyDescent="0.3">
      <c r="B67" s="48">
        <v>7</v>
      </c>
      <c r="C67" s="13"/>
      <c r="D67" s="39"/>
      <c r="E67" s="19"/>
      <c r="F67" s="18"/>
      <c r="G67" s="20">
        <f t="shared" si="8"/>
        <v>0</v>
      </c>
      <c r="H67" s="18"/>
      <c r="I67" s="42" t="e">
        <f t="shared" si="9"/>
        <v>#DIV/0!</v>
      </c>
      <c r="J67" s="27"/>
      <c r="K67" s="27"/>
      <c r="L67" s="27"/>
    </row>
    <row r="68" spans="2:12" ht="15.75" thickBot="1" x14ac:dyDescent="0.3">
      <c r="C68" s="14" t="s">
        <v>8</v>
      </c>
      <c r="D68" s="6">
        <f>SUM(D61:D67)</f>
        <v>28</v>
      </c>
      <c r="E68" s="7">
        <f>SUM(E61:E67)</f>
        <v>265</v>
      </c>
      <c r="F68" s="7">
        <f>SUM(F61:F67)</f>
        <v>0</v>
      </c>
      <c r="G68" s="20">
        <f t="shared" si="8"/>
        <v>237</v>
      </c>
      <c r="H68" s="7"/>
      <c r="I68" s="42">
        <f t="shared" si="9"/>
        <v>8.4642857142857135</v>
      </c>
      <c r="J68" s="35"/>
      <c r="K68" s="33" t="s">
        <v>19</v>
      </c>
      <c r="L68" s="34"/>
    </row>
  </sheetData>
  <mergeCells count="19">
    <mergeCell ref="K2:M2"/>
    <mergeCell ref="K3:M3"/>
    <mergeCell ref="K4:M4"/>
    <mergeCell ref="G59:H59"/>
    <mergeCell ref="I59:J59"/>
    <mergeCell ref="G19:H19"/>
    <mergeCell ref="I19:J19"/>
    <mergeCell ref="C3:G3"/>
    <mergeCell ref="C5:D5"/>
    <mergeCell ref="C58:D58"/>
    <mergeCell ref="G6:H6"/>
    <mergeCell ref="I6:J6"/>
    <mergeCell ref="C18:D18"/>
    <mergeCell ref="C31:D31"/>
    <mergeCell ref="G32:H32"/>
    <mergeCell ref="I32:J32"/>
    <mergeCell ref="C44:D44"/>
    <mergeCell ref="G45:H45"/>
    <mergeCell ref="I45:J45"/>
  </mergeCells>
  <conditionalFormatting sqref="K8:K14">
    <cfRule type="containsText" dxfId="42" priority="4" operator="containsText" text="Green">
      <formula>NOT(ISERROR(SEARCH("Green",K8)))</formula>
    </cfRule>
  </conditionalFormatting>
  <conditionalFormatting sqref="K1:K1048576">
    <cfRule type="containsText" dxfId="41" priority="1" operator="containsText" text="Amber">
      <formula>NOT(ISERROR(SEARCH("Amber",K1)))</formula>
    </cfRule>
    <cfRule type="containsText" dxfId="40" priority="2" operator="containsText" text="Red">
      <formula>NOT(ISERROR(SEARCH("Red",K1)))</formula>
    </cfRule>
    <cfRule type="containsText" dxfId="39" priority="3" operator="containsText" text="Green">
      <formula>NOT(ISERROR(SEARCH("Green",K1)))</formula>
    </cfRule>
  </conditionalFormatting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68"/>
  <sheetViews>
    <sheetView zoomScale="93" zoomScaleNormal="93" workbookViewId="0">
      <selection activeCell="O17" sqref="A1:XFD1048576"/>
    </sheetView>
  </sheetViews>
  <sheetFormatPr defaultRowHeight="15" x14ac:dyDescent="0.25"/>
  <cols>
    <col min="2" max="2" width="7" customWidth="1"/>
    <col min="3" max="3" width="22" customWidth="1"/>
    <col min="4" max="4" width="16.5703125" bestFit="1" customWidth="1"/>
    <col min="5" max="5" width="15.7109375" bestFit="1" customWidth="1"/>
    <col min="6" max="6" width="14.85546875" bestFit="1" customWidth="1"/>
    <col min="7" max="7" width="8.42578125" customWidth="1"/>
    <col min="8" max="8" width="9.7109375" customWidth="1"/>
    <col min="9" max="9" width="8.5703125" customWidth="1"/>
    <col min="10" max="10" width="8.85546875" customWidth="1"/>
    <col min="11" max="11" width="13.140625" customWidth="1"/>
    <col min="12" max="12" width="14" customWidth="1"/>
    <col min="13" max="13" width="12.5703125" customWidth="1"/>
    <col min="14" max="14" width="13.7109375" customWidth="1"/>
    <col min="15" max="15" width="16" customWidth="1"/>
    <col min="16" max="16" width="13.7109375" customWidth="1"/>
    <col min="17" max="17" width="16" customWidth="1"/>
    <col min="18" max="18" width="11.28515625" customWidth="1"/>
    <col min="19" max="19" width="10.5703125" bestFit="1" customWidth="1"/>
    <col min="20" max="20" width="11.28515625" bestFit="1" customWidth="1"/>
  </cols>
  <sheetData>
    <row r="2" spans="2:20" ht="15.75" thickBot="1" x14ac:dyDescent="0.3">
      <c r="J2" s="72" t="s">
        <v>19</v>
      </c>
      <c r="K2" s="145" t="s">
        <v>63</v>
      </c>
      <c r="L2" s="145"/>
      <c r="M2" s="145"/>
    </row>
    <row r="3" spans="2:20" ht="15.75" thickBot="1" x14ac:dyDescent="0.3">
      <c r="C3" s="142" t="s">
        <v>3</v>
      </c>
      <c r="D3" s="144"/>
      <c r="E3" s="144"/>
      <c r="F3" s="144"/>
      <c r="G3" s="143"/>
      <c r="H3" s="21"/>
      <c r="I3" s="21"/>
      <c r="J3" s="73" t="s">
        <v>54</v>
      </c>
      <c r="K3" s="145" t="s">
        <v>57</v>
      </c>
      <c r="L3" s="145"/>
      <c r="M3" s="145"/>
      <c r="O3" s="59"/>
      <c r="P3" s="57"/>
    </row>
    <row r="4" spans="2:20" s="4" customFormat="1" ht="15.75" thickBot="1" x14ac:dyDescent="0.3">
      <c r="C4" s="3"/>
      <c r="D4" s="3"/>
      <c r="E4" s="3"/>
      <c r="F4" s="3"/>
      <c r="G4" s="3"/>
      <c r="H4" s="3"/>
      <c r="I4" s="3"/>
      <c r="J4" s="74" t="s">
        <v>18</v>
      </c>
      <c r="K4" s="146" t="s">
        <v>62</v>
      </c>
      <c r="L4" s="146"/>
      <c r="M4" s="146"/>
      <c r="O4" s="59"/>
      <c r="P4" s="57"/>
      <c r="Q4"/>
    </row>
    <row r="5" spans="2:20" ht="15.75" thickBot="1" x14ac:dyDescent="0.3">
      <c r="C5" s="142" t="s">
        <v>4</v>
      </c>
      <c r="D5" s="143"/>
      <c r="O5" s="59"/>
      <c r="P5" s="57"/>
    </row>
    <row r="6" spans="2:20" s="5" customFormat="1" ht="15.75" thickBot="1" x14ac:dyDescent="0.3">
      <c r="G6" s="140" t="s">
        <v>2</v>
      </c>
      <c r="H6" s="141"/>
      <c r="I6" s="140" t="s">
        <v>13</v>
      </c>
      <c r="J6" s="141"/>
      <c r="M6"/>
      <c r="N6" s="61" t="s">
        <v>46</v>
      </c>
      <c r="O6"/>
      <c r="P6"/>
      <c r="Q6"/>
      <c r="R6"/>
    </row>
    <row r="7" spans="2:20" ht="15.75" thickBot="1" x14ac:dyDescent="0.3">
      <c r="B7" s="36" t="s">
        <v>7</v>
      </c>
      <c r="C7" s="70" t="s">
        <v>5</v>
      </c>
      <c r="D7" s="71" t="s">
        <v>0</v>
      </c>
      <c r="E7" s="9" t="s">
        <v>6</v>
      </c>
      <c r="F7" s="22" t="s">
        <v>1</v>
      </c>
      <c r="G7" s="70" t="s">
        <v>17</v>
      </c>
      <c r="H7" s="70" t="s">
        <v>16</v>
      </c>
      <c r="I7" s="70" t="s">
        <v>17</v>
      </c>
      <c r="J7" s="70" t="s">
        <v>16</v>
      </c>
      <c r="K7" s="70" t="s">
        <v>14</v>
      </c>
      <c r="L7" s="70" t="s">
        <v>15</v>
      </c>
    </row>
    <row r="8" spans="2:20" x14ac:dyDescent="0.25">
      <c r="B8" s="12">
        <v>1</v>
      </c>
      <c r="C8" s="1" t="s">
        <v>20</v>
      </c>
      <c r="D8" s="16">
        <v>7</v>
      </c>
      <c r="E8" s="20">
        <v>53</v>
      </c>
      <c r="F8" s="23"/>
      <c r="G8" s="30">
        <f>E8-D8</f>
        <v>46</v>
      </c>
      <c r="H8" s="30"/>
      <c r="I8" s="65">
        <f>G8/D8</f>
        <v>6.5714285714285712</v>
      </c>
      <c r="J8" s="1"/>
      <c r="K8" s="1" t="s">
        <v>19</v>
      </c>
      <c r="L8" s="1" t="s">
        <v>60</v>
      </c>
      <c r="N8" s="58" t="s">
        <v>42</v>
      </c>
      <c r="O8" t="s">
        <v>45</v>
      </c>
    </row>
    <row r="9" spans="2:20" ht="18.75" customHeight="1" x14ac:dyDescent="0.25">
      <c r="B9" s="12">
        <v>2</v>
      </c>
      <c r="C9" s="50" t="s">
        <v>21</v>
      </c>
      <c r="D9" s="38">
        <v>10</v>
      </c>
      <c r="E9" s="15">
        <v>26</v>
      </c>
      <c r="F9" s="24"/>
      <c r="G9" s="12">
        <f t="shared" ref="G9:G15" si="0">E9-D9</f>
        <v>16</v>
      </c>
      <c r="H9" s="12"/>
      <c r="I9" s="42">
        <f t="shared" ref="I9:I14" si="1">G9/D9</f>
        <v>1.6</v>
      </c>
      <c r="J9" s="26"/>
      <c r="K9" s="26" t="s">
        <v>19</v>
      </c>
      <c r="L9" s="26"/>
      <c r="M9" s="4"/>
      <c r="N9" s="59" t="s">
        <v>19</v>
      </c>
      <c r="O9" s="57">
        <v>5</v>
      </c>
      <c r="Q9" s="4"/>
      <c r="R9" s="4"/>
      <c r="S9" s="57"/>
      <c r="T9" s="57"/>
    </row>
    <row r="10" spans="2:20" ht="60" x14ac:dyDescent="0.25">
      <c r="B10" s="12">
        <v>3</v>
      </c>
      <c r="C10" s="46" t="s">
        <v>27</v>
      </c>
      <c r="D10" s="38">
        <v>10</v>
      </c>
      <c r="E10" s="15">
        <v>27</v>
      </c>
      <c r="F10" s="24"/>
      <c r="G10" s="12">
        <f t="shared" si="0"/>
        <v>17</v>
      </c>
      <c r="H10" s="12"/>
      <c r="I10" s="42">
        <f t="shared" si="1"/>
        <v>1.7</v>
      </c>
      <c r="J10" s="26"/>
      <c r="K10" s="26" t="s">
        <v>19</v>
      </c>
      <c r="L10" s="46" t="s">
        <v>61</v>
      </c>
      <c r="N10" s="59" t="s">
        <v>43</v>
      </c>
      <c r="O10" s="57"/>
    </row>
    <row r="11" spans="2:20" ht="30" x14ac:dyDescent="0.25">
      <c r="B11" s="12">
        <v>4</v>
      </c>
      <c r="C11" s="45" t="s">
        <v>28</v>
      </c>
      <c r="D11" s="38">
        <v>24</v>
      </c>
      <c r="E11" s="15">
        <v>49</v>
      </c>
      <c r="F11" s="24"/>
      <c r="G11" s="12">
        <f t="shared" si="0"/>
        <v>25</v>
      </c>
      <c r="H11" s="12"/>
      <c r="I11" s="42">
        <f t="shared" si="1"/>
        <v>1.0416666666666667</v>
      </c>
      <c r="J11" s="26"/>
      <c r="K11" s="26" t="s">
        <v>19</v>
      </c>
      <c r="L11" s="26"/>
      <c r="N11" s="59" t="s">
        <v>44</v>
      </c>
      <c r="O11" s="57">
        <v>5</v>
      </c>
    </row>
    <row r="12" spans="2:20" ht="60" x14ac:dyDescent="0.25">
      <c r="B12" s="12">
        <v>5</v>
      </c>
      <c r="C12" s="45" t="s">
        <v>38</v>
      </c>
      <c r="D12" s="38">
        <v>5</v>
      </c>
      <c r="E12" s="15">
        <v>13</v>
      </c>
      <c r="F12" s="24"/>
      <c r="G12" s="12">
        <f t="shared" si="0"/>
        <v>8</v>
      </c>
      <c r="H12" s="12"/>
      <c r="I12" s="42">
        <f t="shared" si="1"/>
        <v>1.6</v>
      </c>
      <c r="J12" s="26"/>
      <c r="K12" s="26" t="s">
        <v>19</v>
      </c>
      <c r="L12" s="46" t="s">
        <v>39</v>
      </c>
    </row>
    <row r="13" spans="2:20" x14ac:dyDescent="0.25">
      <c r="B13" s="12">
        <v>6</v>
      </c>
      <c r="C13" s="12"/>
      <c r="D13" s="38"/>
      <c r="E13" s="15"/>
      <c r="F13" s="24"/>
      <c r="G13" s="12">
        <f t="shared" si="0"/>
        <v>0</v>
      </c>
      <c r="H13" s="12"/>
      <c r="I13" s="42" t="e">
        <f t="shared" si="1"/>
        <v>#DIV/0!</v>
      </c>
      <c r="J13" s="26"/>
      <c r="K13" s="26"/>
      <c r="L13" s="26"/>
    </row>
    <row r="14" spans="2:20" ht="15.75" thickBot="1" x14ac:dyDescent="0.3">
      <c r="B14" s="13">
        <v>7</v>
      </c>
      <c r="C14" s="13"/>
      <c r="D14" s="39"/>
      <c r="E14" s="19"/>
      <c r="F14" s="25"/>
      <c r="G14" s="18">
        <f t="shared" si="0"/>
        <v>0</v>
      </c>
      <c r="H14" s="18"/>
      <c r="I14" s="54" t="e">
        <f t="shared" si="1"/>
        <v>#DIV/0!</v>
      </c>
      <c r="J14" s="31"/>
      <c r="K14" s="31"/>
      <c r="L14" s="27"/>
    </row>
    <row r="15" spans="2:20" ht="15.75" thickBot="1" x14ac:dyDescent="0.3">
      <c r="C15" s="14" t="s">
        <v>8</v>
      </c>
      <c r="D15" s="6">
        <f>SUM(D8:D14)</f>
        <v>56</v>
      </c>
      <c r="E15" s="7">
        <f>SUM(E8:E14)</f>
        <v>168</v>
      </c>
      <c r="F15" s="6">
        <f>SUM(F8:F14)</f>
        <v>0</v>
      </c>
      <c r="G15" s="7">
        <f t="shared" si="0"/>
        <v>112</v>
      </c>
      <c r="H15" s="7"/>
      <c r="I15" s="55">
        <f>G15/D15</f>
        <v>2</v>
      </c>
      <c r="J15" s="32"/>
      <c r="K15" s="32" t="s">
        <v>19</v>
      </c>
      <c r="L15" s="32"/>
    </row>
    <row r="17" spans="2:15" ht="15.75" thickBot="1" x14ac:dyDescent="0.3"/>
    <row r="18" spans="2:15" ht="15.75" thickBot="1" x14ac:dyDescent="0.3">
      <c r="C18" s="142" t="s">
        <v>9</v>
      </c>
      <c r="D18" s="143"/>
    </row>
    <row r="19" spans="2:15" ht="15.75" thickBot="1" x14ac:dyDescent="0.3">
      <c r="B19" s="5"/>
      <c r="C19" s="5"/>
      <c r="D19" s="5"/>
      <c r="E19" s="5"/>
      <c r="F19" s="5"/>
      <c r="G19" s="140" t="s">
        <v>2</v>
      </c>
      <c r="H19" s="141"/>
      <c r="I19" s="140" t="s">
        <v>13</v>
      </c>
      <c r="J19" s="141"/>
    </row>
    <row r="20" spans="2:15" ht="15.75" thickBot="1" x14ac:dyDescent="0.3">
      <c r="B20" s="22" t="s">
        <v>7</v>
      </c>
      <c r="C20" s="70" t="s">
        <v>5</v>
      </c>
      <c r="D20" s="71" t="s">
        <v>0</v>
      </c>
      <c r="E20" s="9" t="s">
        <v>6</v>
      </c>
      <c r="F20" s="70" t="s">
        <v>1</v>
      </c>
      <c r="G20" s="70" t="s">
        <v>17</v>
      </c>
      <c r="H20" s="70" t="s">
        <v>16</v>
      </c>
      <c r="I20" s="70" t="s">
        <v>17</v>
      </c>
      <c r="J20" s="70" t="s">
        <v>16</v>
      </c>
      <c r="K20" s="22" t="s">
        <v>14</v>
      </c>
      <c r="L20" s="70" t="s">
        <v>15</v>
      </c>
      <c r="N20" s="58" t="s">
        <v>42</v>
      </c>
      <c r="O20" t="s">
        <v>45</v>
      </c>
    </row>
    <row r="21" spans="2:15" x14ac:dyDescent="0.25">
      <c r="B21" s="62">
        <v>1</v>
      </c>
      <c r="C21" s="63" t="s">
        <v>22</v>
      </c>
      <c r="D21" s="16">
        <v>60</v>
      </c>
      <c r="E21" s="20">
        <v>24</v>
      </c>
      <c r="F21" s="1"/>
      <c r="G21" s="30">
        <f>E21-D21</f>
        <v>-36</v>
      </c>
      <c r="H21" s="30"/>
      <c r="I21" s="64">
        <f>G21/D21</f>
        <v>-0.6</v>
      </c>
      <c r="J21" s="1"/>
      <c r="K21" s="23" t="s">
        <v>18</v>
      </c>
      <c r="L21" s="75"/>
      <c r="N21" s="59" t="s">
        <v>18</v>
      </c>
      <c r="O21" s="57">
        <v>4</v>
      </c>
    </row>
    <row r="22" spans="2:15" x14ac:dyDescent="0.25">
      <c r="B22" s="24">
        <v>2</v>
      </c>
      <c r="C22" s="50" t="s">
        <v>29</v>
      </c>
      <c r="D22" s="38">
        <v>21</v>
      </c>
      <c r="E22" s="15">
        <v>42</v>
      </c>
      <c r="F22" s="12"/>
      <c r="G22" s="30">
        <f t="shared" ref="G22:G28" si="2">E22-D22</f>
        <v>21</v>
      </c>
      <c r="H22" s="12"/>
      <c r="I22" s="41">
        <f t="shared" ref="I22:I28" si="3">G22/D22</f>
        <v>1</v>
      </c>
      <c r="J22" s="26"/>
      <c r="K22" s="76" t="s">
        <v>19</v>
      </c>
      <c r="L22" s="26"/>
      <c r="N22" s="59" t="s">
        <v>19</v>
      </c>
      <c r="O22" s="57">
        <v>1</v>
      </c>
    </row>
    <row r="23" spans="2:15" ht="75" x14ac:dyDescent="0.25">
      <c r="B23" s="24">
        <v>3</v>
      </c>
      <c r="C23" s="40" t="s">
        <v>30</v>
      </c>
      <c r="D23" s="38">
        <v>11</v>
      </c>
      <c r="E23" s="15">
        <v>11</v>
      </c>
      <c r="F23" s="12"/>
      <c r="G23" s="30">
        <f t="shared" si="2"/>
        <v>0</v>
      </c>
      <c r="H23" s="12"/>
      <c r="I23" s="41">
        <f t="shared" si="3"/>
        <v>0</v>
      </c>
      <c r="J23" s="26"/>
      <c r="K23" s="76" t="s">
        <v>18</v>
      </c>
      <c r="L23" s="40" t="s">
        <v>52</v>
      </c>
      <c r="N23" s="59" t="s">
        <v>43</v>
      </c>
      <c r="O23" s="57">
        <v>1</v>
      </c>
    </row>
    <row r="24" spans="2:15" ht="60" x14ac:dyDescent="0.25">
      <c r="B24" s="24">
        <v>4</v>
      </c>
      <c r="C24" s="40" t="s">
        <v>31</v>
      </c>
      <c r="D24" s="38"/>
      <c r="E24" s="15"/>
      <c r="F24" s="12"/>
      <c r="G24" s="30">
        <f t="shared" si="2"/>
        <v>0</v>
      </c>
      <c r="H24" s="12"/>
      <c r="I24" s="41" t="e">
        <f t="shared" si="3"/>
        <v>#DIV/0!</v>
      </c>
      <c r="J24" s="26"/>
      <c r="K24" s="76"/>
      <c r="L24" s="46" t="s">
        <v>32</v>
      </c>
      <c r="N24" s="59" t="s">
        <v>44</v>
      </c>
      <c r="O24" s="57">
        <v>6</v>
      </c>
    </row>
    <row r="25" spans="2:15" x14ac:dyDescent="0.25">
      <c r="B25" s="24">
        <v>5</v>
      </c>
      <c r="C25" s="40" t="s">
        <v>40</v>
      </c>
      <c r="D25" s="38">
        <v>55</v>
      </c>
      <c r="E25" s="15">
        <v>45</v>
      </c>
      <c r="F25" s="12"/>
      <c r="G25" s="30">
        <f t="shared" si="2"/>
        <v>-10</v>
      </c>
      <c r="H25" s="12"/>
      <c r="I25" s="41">
        <f t="shared" si="3"/>
        <v>-0.18181818181818182</v>
      </c>
      <c r="J25" s="26"/>
      <c r="K25" s="76" t="s">
        <v>18</v>
      </c>
      <c r="L25" s="26"/>
    </row>
    <row r="26" spans="2:15" ht="30" x14ac:dyDescent="0.25">
      <c r="B26" s="24">
        <v>6</v>
      </c>
      <c r="C26" s="40" t="s">
        <v>41</v>
      </c>
      <c r="D26" s="38">
        <v>45</v>
      </c>
      <c r="E26" s="15">
        <v>30</v>
      </c>
      <c r="F26" s="12"/>
      <c r="G26" s="30">
        <f t="shared" si="2"/>
        <v>-15</v>
      </c>
      <c r="H26" s="12"/>
      <c r="I26" s="41">
        <f t="shared" si="3"/>
        <v>-0.33333333333333331</v>
      </c>
      <c r="J26" s="26"/>
      <c r="K26" s="76" t="s">
        <v>18</v>
      </c>
      <c r="L26" s="26"/>
    </row>
    <row r="27" spans="2:15" ht="15.75" thickBot="1" x14ac:dyDescent="0.3">
      <c r="B27" s="48">
        <v>7</v>
      </c>
      <c r="C27" s="13"/>
      <c r="D27" s="39"/>
      <c r="E27" s="19"/>
      <c r="F27" s="18"/>
      <c r="G27" s="53">
        <f t="shared" si="2"/>
        <v>0</v>
      </c>
      <c r="H27" s="18"/>
      <c r="I27" s="51" t="e">
        <f t="shared" si="3"/>
        <v>#DIV/0!</v>
      </c>
      <c r="J27" s="31"/>
      <c r="K27" s="77"/>
      <c r="L27" s="27"/>
    </row>
    <row r="28" spans="2:15" ht="15.75" thickBot="1" x14ac:dyDescent="0.3">
      <c r="C28" s="49" t="s">
        <v>8</v>
      </c>
      <c r="D28" s="6">
        <f>SUM(D21:D27)</f>
        <v>192</v>
      </c>
      <c r="E28" s="7">
        <f>SUM(E21:E27)</f>
        <v>152</v>
      </c>
      <c r="F28" s="7">
        <f>SUM(F21:F27)</f>
        <v>0</v>
      </c>
      <c r="G28" s="7">
        <f t="shared" si="2"/>
        <v>-40</v>
      </c>
      <c r="H28" s="7"/>
      <c r="I28" s="52">
        <f t="shared" si="3"/>
        <v>-0.20833333333333334</v>
      </c>
      <c r="J28" s="32"/>
      <c r="K28" s="32" t="s">
        <v>18</v>
      </c>
      <c r="L28" s="32"/>
    </row>
    <row r="30" spans="2:15" ht="15.75" thickBot="1" x14ac:dyDescent="0.3"/>
    <row r="31" spans="2:15" ht="15.75" thickBot="1" x14ac:dyDescent="0.3">
      <c r="C31" s="142" t="s">
        <v>10</v>
      </c>
      <c r="D31" s="143"/>
    </row>
    <row r="32" spans="2:15" ht="15.75" thickBot="1" x14ac:dyDescent="0.3">
      <c r="B32" s="5"/>
      <c r="C32" s="5"/>
      <c r="D32" s="5"/>
      <c r="E32" s="5"/>
      <c r="F32" s="5"/>
      <c r="G32" s="140" t="s">
        <v>2</v>
      </c>
      <c r="H32" s="141"/>
      <c r="I32" s="140" t="s">
        <v>13</v>
      </c>
      <c r="J32" s="141"/>
      <c r="N32" s="58" t="s">
        <v>42</v>
      </c>
      <c r="O32" t="s">
        <v>45</v>
      </c>
    </row>
    <row r="33" spans="2:15" ht="15.75" thickBot="1" x14ac:dyDescent="0.3">
      <c r="B33" s="70" t="s">
        <v>7</v>
      </c>
      <c r="C33" s="9" t="s">
        <v>5</v>
      </c>
      <c r="D33" s="70" t="s">
        <v>0</v>
      </c>
      <c r="E33" s="9" t="s">
        <v>6</v>
      </c>
      <c r="F33" s="70" t="s">
        <v>1</v>
      </c>
      <c r="G33" s="22" t="s">
        <v>17</v>
      </c>
      <c r="H33" s="70" t="s">
        <v>16</v>
      </c>
      <c r="I33" s="70" t="s">
        <v>17</v>
      </c>
      <c r="J33" s="70" t="s">
        <v>16</v>
      </c>
      <c r="K33" s="70" t="s">
        <v>14</v>
      </c>
      <c r="L33" s="70" t="s">
        <v>15</v>
      </c>
      <c r="N33" s="59" t="s">
        <v>26</v>
      </c>
      <c r="O33" s="57">
        <v>1</v>
      </c>
    </row>
    <row r="34" spans="2:15" ht="45" x14ac:dyDescent="0.25">
      <c r="B34" s="11">
        <v>1</v>
      </c>
      <c r="C34" s="37" t="s">
        <v>33</v>
      </c>
      <c r="D34" s="1">
        <v>25</v>
      </c>
      <c r="E34" s="2">
        <v>36</v>
      </c>
      <c r="F34" s="1"/>
      <c r="G34" s="20">
        <f>E34-D34</f>
        <v>11</v>
      </c>
      <c r="H34" s="30"/>
      <c r="I34" s="30">
        <f>G34/D34</f>
        <v>0.44</v>
      </c>
      <c r="J34" s="1"/>
      <c r="K34" s="1" t="s">
        <v>26</v>
      </c>
      <c r="L34" s="78" t="s">
        <v>58</v>
      </c>
      <c r="N34" s="59" t="s">
        <v>43</v>
      </c>
      <c r="O34" s="57"/>
    </row>
    <row r="35" spans="2:15" x14ac:dyDescent="0.25">
      <c r="B35" s="12">
        <v>2</v>
      </c>
      <c r="C35" s="15"/>
      <c r="D35" s="12"/>
      <c r="E35" s="15"/>
      <c r="F35" s="12"/>
      <c r="G35" s="20">
        <f t="shared" ref="G35:G41" si="4">E35-D35</f>
        <v>0</v>
      </c>
      <c r="H35" s="12"/>
      <c r="I35" s="12" t="e">
        <f t="shared" ref="I35:I41" si="5">G35/D35</f>
        <v>#DIV/0!</v>
      </c>
      <c r="J35" s="26"/>
      <c r="K35" s="26"/>
      <c r="L35" s="26"/>
      <c r="N35" s="59" t="s">
        <v>44</v>
      </c>
      <c r="O35" s="57">
        <v>1</v>
      </c>
    </row>
    <row r="36" spans="2:15" x14ac:dyDescent="0.25">
      <c r="B36" s="12">
        <v>3</v>
      </c>
      <c r="C36" s="15"/>
      <c r="D36" s="12"/>
      <c r="E36" s="15"/>
      <c r="F36" s="12"/>
      <c r="G36" s="20">
        <f t="shared" si="4"/>
        <v>0</v>
      </c>
      <c r="H36" s="12"/>
      <c r="I36" s="12" t="e">
        <f t="shared" si="5"/>
        <v>#DIV/0!</v>
      </c>
      <c r="J36" s="26"/>
      <c r="K36" s="26"/>
      <c r="L36" s="26"/>
    </row>
    <row r="37" spans="2:15" x14ac:dyDescent="0.25">
      <c r="B37" s="12">
        <v>4</v>
      </c>
      <c r="C37" s="15"/>
      <c r="D37" s="12"/>
      <c r="E37" s="15"/>
      <c r="F37" s="12"/>
      <c r="G37" s="20">
        <f t="shared" si="4"/>
        <v>0</v>
      </c>
      <c r="H37" s="12"/>
      <c r="I37" s="12" t="e">
        <f t="shared" si="5"/>
        <v>#DIV/0!</v>
      </c>
      <c r="J37" s="26"/>
      <c r="K37" s="26"/>
      <c r="L37" s="26"/>
    </row>
    <row r="38" spans="2:15" x14ac:dyDescent="0.25">
      <c r="B38" s="12">
        <v>5</v>
      </c>
      <c r="C38" s="15"/>
      <c r="D38" s="12"/>
      <c r="E38" s="15"/>
      <c r="F38" s="12"/>
      <c r="G38" s="20">
        <f t="shared" si="4"/>
        <v>0</v>
      </c>
      <c r="H38" s="12"/>
      <c r="I38" s="12" t="e">
        <f t="shared" si="5"/>
        <v>#DIV/0!</v>
      </c>
      <c r="J38" s="26"/>
      <c r="K38" s="26"/>
      <c r="L38" s="26"/>
    </row>
    <row r="39" spans="2:15" x14ac:dyDescent="0.25">
      <c r="B39" s="12">
        <v>6</v>
      </c>
      <c r="C39" s="15"/>
      <c r="D39" s="12"/>
      <c r="E39" s="15"/>
      <c r="F39" s="12"/>
      <c r="G39" s="20">
        <f t="shared" si="4"/>
        <v>0</v>
      </c>
      <c r="H39" s="12"/>
      <c r="I39" s="12" t="e">
        <f t="shared" si="5"/>
        <v>#DIV/0!</v>
      </c>
      <c r="J39" s="26"/>
      <c r="K39" s="26"/>
      <c r="L39" s="26"/>
    </row>
    <row r="40" spans="2:15" ht="15.75" thickBot="1" x14ac:dyDescent="0.3">
      <c r="B40" s="13">
        <v>7</v>
      </c>
      <c r="C40" s="17"/>
      <c r="D40" s="18"/>
      <c r="E40" s="19"/>
      <c r="F40" s="18"/>
      <c r="G40" s="56">
        <f t="shared" si="4"/>
        <v>0</v>
      </c>
      <c r="H40" s="18"/>
      <c r="I40" s="18" t="e">
        <f t="shared" si="5"/>
        <v>#DIV/0!</v>
      </c>
      <c r="J40" s="31"/>
      <c r="K40" s="31"/>
      <c r="L40" s="27"/>
    </row>
    <row r="41" spans="2:15" ht="15.75" thickBot="1" x14ac:dyDescent="0.3">
      <c r="C41" s="14" t="s">
        <v>8</v>
      </c>
      <c r="D41" s="6">
        <f>SUM(D34:D40)</f>
        <v>25</v>
      </c>
      <c r="E41" s="7">
        <f>SUM(E34:E40)</f>
        <v>36</v>
      </c>
      <c r="F41" s="7">
        <f>SUM(F34:F40)</f>
        <v>0</v>
      </c>
      <c r="G41" s="7">
        <f t="shared" si="4"/>
        <v>11</v>
      </c>
      <c r="H41" s="7"/>
      <c r="I41" s="7">
        <f t="shared" si="5"/>
        <v>0.44</v>
      </c>
      <c r="J41" s="32"/>
      <c r="K41" s="32" t="s">
        <v>26</v>
      </c>
      <c r="L41" s="32"/>
    </row>
    <row r="43" spans="2:15" ht="15.75" thickBot="1" x14ac:dyDescent="0.3"/>
    <row r="44" spans="2:15" ht="15.75" thickBot="1" x14ac:dyDescent="0.3">
      <c r="C44" s="142" t="s">
        <v>11</v>
      </c>
      <c r="D44" s="143"/>
    </row>
    <row r="45" spans="2:15" ht="15.75" thickBot="1" x14ac:dyDescent="0.3">
      <c r="B45" s="5"/>
      <c r="C45" s="5"/>
      <c r="D45" s="5"/>
      <c r="E45" s="5"/>
      <c r="F45" s="5"/>
      <c r="G45" s="140" t="s">
        <v>2</v>
      </c>
      <c r="H45" s="141"/>
      <c r="I45" s="140" t="s">
        <v>13</v>
      </c>
      <c r="J45" s="141"/>
      <c r="N45" s="58" t="s">
        <v>42</v>
      </c>
      <c r="O45" t="s">
        <v>45</v>
      </c>
    </row>
    <row r="46" spans="2:15" ht="15.75" thickBot="1" x14ac:dyDescent="0.3">
      <c r="B46" s="22" t="s">
        <v>7</v>
      </c>
      <c r="C46" s="36" t="s">
        <v>5</v>
      </c>
      <c r="D46" s="71" t="s">
        <v>0</v>
      </c>
      <c r="E46" s="9" t="s">
        <v>6</v>
      </c>
      <c r="F46" s="70" t="s">
        <v>1</v>
      </c>
      <c r="G46" s="22" t="s">
        <v>17</v>
      </c>
      <c r="H46" s="70" t="s">
        <v>16</v>
      </c>
      <c r="I46" s="70" t="s">
        <v>17</v>
      </c>
      <c r="J46" s="70" t="s">
        <v>16</v>
      </c>
      <c r="K46" s="70" t="s">
        <v>14</v>
      </c>
      <c r="L46" s="70" t="s">
        <v>15</v>
      </c>
      <c r="N46" s="59" t="s">
        <v>18</v>
      </c>
      <c r="O46" s="57">
        <v>1</v>
      </c>
    </row>
    <row r="47" spans="2:15" x14ac:dyDescent="0.25">
      <c r="B47" s="47">
        <v>1</v>
      </c>
      <c r="C47" s="50" t="s">
        <v>23</v>
      </c>
      <c r="D47" s="16">
        <v>10</v>
      </c>
      <c r="E47" s="20">
        <v>35</v>
      </c>
      <c r="F47" s="1"/>
      <c r="G47" s="20">
        <f>E47-D47</f>
        <v>25</v>
      </c>
      <c r="H47" s="30"/>
      <c r="I47" s="66">
        <f>G47/D47</f>
        <v>2.5</v>
      </c>
      <c r="J47" s="1"/>
      <c r="K47" s="1" t="s">
        <v>19</v>
      </c>
      <c r="L47" s="1"/>
      <c r="N47" s="59" t="s">
        <v>19</v>
      </c>
      <c r="O47" s="57">
        <v>2</v>
      </c>
    </row>
    <row r="48" spans="2:15" x14ac:dyDescent="0.25">
      <c r="B48" s="24">
        <v>2</v>
      </c>
      <c r="C48" s="50" t="s">
        <v>34</v>
      </c>
      <c r="D48" s="38">
        <v>47</v>
      </c>
      <c r="E48" s="15">
        <v>92</v>
      </c>
      <c r="F48" s="12"/>
      <c r="G48" s="20">
        <f t="shared" ref="G48:G54" si="6">E48-D48</f>
        <v>45</v>
      </c>
      <c r="H48" s="12"/>
      <c r="I48" s="42">
        <f t="shared" ref="I48:I54" si="7">G48/D48</f>
        <v>0.95744680851063835</v>
      </c>
      <c r="J48" s="26"/>
      <c r="K48" s="26" t="s">
        <v>19</v>
      </c>
      <c r="L48" s="26"/>
      <c r="N48" s="59" t="s">
        <v>43</v>
      </c>
      <c r="O48" s="57"/>
    </row>
    <row r="49" spans="2:15" ht="45" x14ac:dyDescent="0.25">
      <c r="B49" s="24">
        <v>3</v>
      </c>
      <c r="C49" s="40" t="s">
        <v>35</v>
      </c>
      <c r="D49" s="38">
        <v>28</v>
      </c>
      <c r="E49" s="15">
        <v>28</v>
      </c>
      <c r="F49" s="12"/>
      <c r="G49" s="20">
        <f t="shared" si="6"/>
        <v>0</v>
      </c>
      <c r="H49" s="12"/>
      <c r="I49" s="42">
        <f t="shared" si="7"/>
        <v>0</v>
      </c>
      <c r="J49" s="26"/>
      <c r="K49" s="26" t="s">
        <v>18</v>
      </c>
      <c r="L49" s="46" t="s">
        <v>36</v>
      </c>
      <c r="N49" s="59" t="s">
        <v>44</v>
      </c>
      <c r="O49" s="57">
        <v>3</v>
      </c>
    </row>
    <row r="50" spans="2:15" x14ac:dyDescent="0.25">
      <c r="B50" s="24">
        <v>4</v>
      </c>
      <c r="C50" s="12"/>
      <c r="D50" s="38"/>
      <c r="E50" s="15"/>
      <c r="F50" s="12"/>
      <c r="G50" s="20">
        <f t="shared" si="6"/>
        <v>0</v>
      </c>
      <c r="H50" s="12"/>
      <c r="I50" s="42" t="e">
        <f t="shared" si="7"/>
        <v>#DIV/0!</v>
      </c>
      <c r="J50" s="26"/>
      <c r="K50" s="26"/>
      <c r="L50" s="26"/>
    </row>
    <row r="51" spans="2:15" x14ac:dyDescent="0.25">
      <c r="B51" s="24">
        <v>5</v>
      </c>
      <c r="C51" s="12"/>
      <c r="D51" s="38"/>
      <c r="E51" s="15"/>
      <c r="F51" s="12"/>
      <c r="G51" s="20">
        <f t="shared" si="6"/>
        <v>0</v>
      </c>
      <c r="H51" s="12"/>
      <c r="I51" s="42" t="e">
        <f t="shared" si="7"/>
        <v>#DIV/0!</v>
      </c>
      <c r="J51" s="26"/>
      <c r="K51" s="26"/>
      <c r="L51" s="26"/>
    </row>
    <row r="52" spans="2:15" x14ac:dyDescent="0.25">
      <c r="B52" s="24">
        <v>6</v>
      </c>
      <c r="C52" s="12"/>
      <c r="D52" s="38"/>
      <c r="E52" s="15"/>
      <c r="F52" s="12"/>
      <c r="G52" s="20">
        <f t="shared" si="6"/>
        <v>0</v>
      </c>
      <c r="H52" s="12"/>
      <c r="I52" s="42" t="e">
        <f t="shared" si="7"/>
        <v>#DIV/0!</v>
      </c>
      <c r="J52" s="26"/>
      <c r="K52" s="26"/>
      <c r="L52" s="26"/>
    </row>
    <row r="53" spans="2:15" ht="15.75" thickBot="1" x14ac:dyDescent="0.3">
      <c r="B53" s="48">
        <v>7</v>
      </c>
      <c r="C53" s="13"/>
      <c r="D53" s="39"/>
      <c r="E53" s="19"/>
      <c r="F53" s="18"/>
      <c r="G53" s="56">
        <f t="shared" si="6"/>
        <v>0</v>
      </c>
      <c r="H53" s="18"/>
      <c r="I53" s="42" t="e">
        <f t="shared" si="7"/>
        <v>#DIV/0!</v>
      </c>
      <c r="J53" s="31"/>
      <c r="K53" s="31"/>
      <c r="L53" s="31"/>
    </row>
    <row r="54" spans="2:15" ht="15.75" thickBot="1" x14ac:dyDescent="0.3">
      <c r="C54" s="14" t="s">
        <v>8</v>
      </c>
      <c r="D54" s="6">
        <f>SUM(D47:D53)</f>
        <v>85</v>
      </c>
      <c r="E54" s="7">
        <f>SUM(E47:E53)</f>
        <v>155</v>
      </c>
      <c r="F54" s="7">
        <f>SUM(F47:F53)</f>
        <v>0</v>
      </c>
      <c r="G54" s="7">
        <f t="shared" si="6"/>
        <v>70</v>
      </c>
      <c r="H54" s="7"/>
      <c r="I54" s="42">
        <f t="shared" si="7"/>
        <v>0.82352941176470584</v>
      </c>
      <c r="J54" s="32"/>
      <c r="K54" s="32" t="s">
        <v>19</v>
      </c>
      <c r="L54" s="32"/>
    </row>
    <row r="57" spans="2:15" ht="15.75" thickBot="1" x14ac:dyDescent="0.3"/>
    <row r="58" spans="2:15" ht="15.75" thickBot="1" x14ac:dyDescent="0.3">
      <c r="C58" s="142" t="s">
        <v>12</v>
      </c>
      <c r="D58" s="143"/>
    </row>
    <row r="59" spans="2:15" ht="15.75" thickBot="1" x14ac:dyDescent="0.3">
      <c r="B59" s="5"/>
      <c r="C59" s="5"/>
      <c r="D59" s="5"/>
      <c r="E59" s="5"/>
      <c r="F59" s="5"/>
      <c r="G59" s="140" t="s">
        <v>2</v>
      </c>
      <c r="H59" s="141"/>
      <c r="I59" s="140" t="s">
        <v>13</v>
      </c>
      <c r="J59" s="141"/>
    </row>
    <row r="60" spans="2:15" ht="15.75" thickBot="1" x14ac:dyDescent="0.3">
      <c r="B60" s="22" t="s">
        <v>7</v>
      </c>
      <c r="C60" s="70" t="s">
        <v>5</v>
      </c>
      <c r="D60" s="71" t="s">
        <v>0</v>
      </c>
      <c r="E60" s="9" t="s">
        <v>6</v>
      </c>
      <c r="F60" s="70" t="s">
        <v>1</v>
      </c>
      <c r="G60" s="22" t="s">
        <v>17</v>
      </c>
      <c r="H60" s="70" t="s">
        <v>16</v>
      </c>
      <c r="I60" s="70" t="s">
        <v>17</v>
      </c>
      <c r="J60" s="71" t="s">
        <v>16</v>
      </c>
      <c r="K60" s="70" t="s">
        <v>14</v>
      </c>
      <c r="L60" s="70" t="s">
        <v>15</v>
      </c>
      <c r="N60" s="58" t="s">
        <v>42</v>
      </c>
      <c r="O60" t="s">
        <v>45</v>
      </c>
    </row>
    <row r="61" spans="2:15" ht="30" x14ac:dyDescent="0.25">
      <c r="B61" s="47">
        <v>1</v>
      </c>
      <c r="C61" s="67" t="s">
        <v>24</v>
      </c>
      <c r="D61" s="16">
        <v>10</v>
      </c>
      <c r="E61" s="20">
        <v>91</v>
      </c>
      <c r="F61" s="1"/>
      <c r="G61" s="20">
        <f>E61-D61</f>
        <v>81</v>
      </c>
      <c r="H61" s="30"/>
      <c r="I61" s="66">
        <f>G61/D61</f>
        <v>8.1</v>
      </c>
      <c r="J61" s="1"/>
      <c r="K61" s="1" t="s">
        <v>19</v>
      </c>
      <c r="L61" s="1"/>
      <c r="N61" s="59" t="s">
        <v>19</v>
      </c>
      <c r="O61" s="57">
        <v>3</v>
      </c>
    </row>
    <row r="62" spans="2:15" x14ac:dyDescent="0.25">
      <c r="B62" s="24">
        <v>2</v>
      </c>
      <c r="C62" s="50" t="s">
        <v>25</v>
      </c>
      <c r="D62" s="38">
        <v>10</v>
      </c>
      <c r="E62" s="15">
        <v>159</v>
      </c>
      <c r="F62" s="12"/>
      <c r="G62" s="20">
        <f t="shared" ref="G62:G68" si="8">E62-D62</f>
        <v>149</v>
      </c>
      <c r="H62" s="12"/>
      <c r="I62" s="42">
        <f t="shared" ref="I62:I68" si="9">G62/D62</f>
        <v>14.9</v>
      </c>
      <c r="J62" s="26"/>
      <c r="K62" s="26" t="s">
        <v>19</v>
      </c>
      <c r="L62" s="26"/>
      <c r="N62" s="59" t="s">
        <v>43</v>
      </c>
      <c r="O62" s="57"/>
    </row>
    <row r="63" spans="2:15" x14ac:dyDescent="0.25">
      <c r="B63" s="24">
        <v>3</v>
      </c>
      <c r="C63" s="50" t="s">
        <v>37</v>
      </c>
      <c r="D63" s="38">
        <v>8</v>
      </c>
      <c r="E63" s="15">
        <v>26</v>
      </c>
      <c r="F63" s="12"/>
      <c r="G63" s="20">
        <f t="shared" si="8"/>
        <v>18</v>
      </c>
      <c r="H63" s="12"/>
      <c r="I63" s="42">
        <f t="shared" si="9"/>
        <v>2.25</v>
      </c>
      <c r="J63" s="26"/>
      <c r="K63" s="26" t="s">
        <v>19</v>
      </c>
      <c r="L63" s="26" t="s">
        <v>59</v>
      </c>
      <c r="N63" s="59" t="s">
        <v>44</v>
      </c>
      <c r="O63" s="57">
        <v>3</v>
      </c>
    </row>
    <row r="64" spans="2:15" x14ac:dyDescent="0.25">
      <c r="B64" s="24">
        <v>4</v>
      </c>
      <c r="C64" s="12"/>
      <c r="D64" s="38"/>
      <c r="E64" s="15"/>
      <c r="F64" s="12"/>
      <c r="G64" s="20">
        <f t="shared" si="8"/>
        <v>0</v>
      </c>
      <c r="H64" s="12"/>
      <c r="I64" s="42" t="e">
        <f t="shared" si="9"/>
        <v>#DIV/0!</v>
      </c>
      <c r="J64" s="26"/>
      <c r="K64" s="26"/>
      <c r="L64" s="26"/>
    </row>
    <row r="65" spans="2:12" x14ac:dyDescent="0.25">
      <c r="B65" s="24">
        <v>5</v>
      </c>
      <c r="C65" s="12"/>
      <c r="D65" s="38"/>
      <c r="E65" s="15"/>
      <c r="F65" s="12"/>
      <c r="G65" s="20">
        <f t="shared" si="8"/>
        <v>0</v>
      </c>
      <c r="H65" s="12"/>
      <c r="I65" s="42" t="e">
        <f t="shared" si="9"/>
        <v>#DIV/0!</v>
      </c>
      <c r="J65" s="26"/>
      <c r="K65" s="26"/>
      <c r="L65" s="26"/>
    </row>
    <row r="66" spans="2:12" x14ac:dyDescent="0.25">
      <c r="B66" s="24">
        <v>6</v>
      </c>
      <c r="C66" s="12"/>
      <c r="D66" s="38"/>
      <c r="E66" s="15"/>
      <c r="F66" s="12"/>
      <c r="G66" s="20">
        <f t="shared" si="8"/>
        <v>0</v>
      </c>
      <c r="H66" s="12"/>
      <c r="I66" s="42" t="e">
        <f t="shared" si="9"/>
        <v>#DIV/0!</v>
      </c>
      <c r="J66" s="26"/>
      <c r="K66" s="26"/>
      <c r="L66" s="26"/>
    </row>
    <row r="67" spans="2:12" ht="15.75" thickBot="1" x14ac:dyDescent="0.3">
      <c r="B67" s="48">
        <v>7</v>
      </c>
      <c r="C67" s="13"/>
      <c r="D67" s="39"/>
      <c r="E67" s="19"/>
      <c r="F67" s="18"/>
      <c r="G67" s="20">
        <f t="shared" si="8"/>
        <v>0</v>
      </c>
      <c r="H67" s="18"/>
      <c r="I67" s="42" t="e">
        <f t="shared" si="9"/>
        <v>#DIV/0!</v>
      </c>
      <c r="J67" s="27"/>
      <c r="K67" s="27"/>
      <c r="L67" s="27"/>
    </row>
    <row r="68" spans="2:12" ht="15.75" thickBot="1" x14ac:dyDescent="0.3">
      <c r="C68" s="14" t="s">
        <v>8</v>
      </c>
      <c r="D68" s="6">
        <f>SUM(D61:D67)</f>
        <v>28</v>
      </c>
      <c r="E68" s="7">
        <f>SUM(E61:E67)</f>
        <v>276</v>
      </c>
      <c r="F68" s="7">
        <f>SUM(F61:F67)</f>
        <v>0</v>
      </c>
      <c r="G68" s="20">
        <f t="shared" si="8"/>
        <v>248</v>
      </c>
      <c r="H68" s="7"/>
      <c r="I68" s="42">
        <f t="shared" si="9"/>
        <v>8.8571428571428577</v>
      </c>
      <c r="J68" s="35"/>
      <c r="K68" s="33" t="s">
        <v>19</v>
      </c>
      <c r="L68" s="34"/>
    </row>
  </sheetData>
  <mergeCells count="19">
    <mergeCell ref="C44:D44"/>
    <mergeCell ref="G45:H45"/>
    <mergeCell ref="I45:J45"/>
    <mergeCell ref="C58:D58"/>
    <mergeCell ref="G59:H59"/>
    <mergeCell ref="I59:J59"/>
    <mergeCell ref="C18:D18"/>
    <mergeCell ref="G19:H19"/>
    <mergeCell ref="I19:J19"/>
    <mergeCell ref="C31:D31"/>
    <mergeCell ref="G32:H32"/>
    <mergeCell ref="I32:J32"/>
    <mergeCell ref="G6:H6"/>
    <mergeCell ref="I6:J6"/>
    <mergeCell ref="K2:M2"/>
    <mergeCell ref="C3:G3"/>
    <mergeCell ref="K3:M3"/>
    <mergeCell ref="K4:M4"/>
    <mergeCell ref="C5:D5"/>
  </mergeCells>
  <conditionalFormatting sqref="K8:K14">
    <cfRule type="containsText" dxfId="38" priority="4" operator="containsText" text="Green">
      <formula>NOT(ISERROR(SEARCH("Green",K8)))</formula>
    </cfRule>
  </conditionalFormatting>
  <conditionalFormatting sqref="K1:K1048576">
    <cfRule type="containsText" dxfId="37" priority="1" operator="containsText" text="Amber">
      <formula>NOT(ISERROR(SEARCH("Amber",K1)))</formula>
    </cfRule>
    <cfRule type="containsText" dxfId="36" priority="2" operator="containsText" text="Red">
      <formula>NOT(ISERROR(SEARCH("Red",K1)))</formula>
    </cfRule>
    <cfRule type="containsText" dxfId="35" priority="3" operator="containsText" text="Green">
      <formula>NOT(ISERROR(SEARCH("Green",K1)))</formula>
    </cfRule>
  </conditionalFormatting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70"/>
  <sheetViews>
    <sheetView topLeftCell="A7" workbookViewId="0">
      <selection activeCell="C11" sqref="C11"/>
    </sheetView>
  </sheetViews>
  <sheetFormatPr defaultRowHeight="15" x14ac:dyDescent="0.25"/>
  <cols>
    <col min="2" max="2" width="7" customWidth="1"/>
    <col min="3" max="3" width="22" customWidth="1"/>
    <col min="4" max="4" width="16.5703125" bestFit="1" customWidth="1"/>
    <col min="5" max="5" width="15.7109375" bestFit="1" customWidth="1"/>
    <col min="6" max="6" width="14.85546875" bestFit="1" customWidth="1"/>
    <col min="7" max="7" width="8.42578125" customWidth="1"/>
    <col min="8" max="8" width="9.7109375" customWidth="1"/>
    <col min="9" max="9" width="8.5703125" customWidth="1"/>
    <col min="10" max="10" width="8.85546875" customWidth="1"/>
    <col min="11" max="11" width="13.140625" customWidth="1"/>
    <col min="12" max="12" width="14" customWidth="1"/>
    <col min="13" max="13" width="12.5703125" customWidth="1"/>
    <col min="14" max="14" width="13.7109375" customWidth="1"/>
    <col min="15" max="15" width="16" customWidth="1"/>
    <col min="16" max="16" width="13.7109375" customWidth="1"/>
    <col min="17" max="17" width="16" customWidth="1"/>
    <col min="18" max="18" width="13.140625" customWidth="1"/>
    <col min="19" max="19" width="15.42578125" bestFit="1" customWidth="1"/>
    <col min="20" max="20" width="18" customWidth="1"/>
    <col min="21" max="21" width="18.5703125" customWidth="1"/>
    <col min="22" max="22" width="22.7109375" customWidth="1"/>
    <col min="23" max="23" width="22.140625" customWidth="1"/>
    <col min="24" max="24" width="15" customWidth="1"/>
    <col min="25" max="25" width="12.7109375" customWidth="1"/>
    <col min="26" max="26" width="26" customWidth="1"/>
    <col min="27" max="27" width="12.7109375" customWidth="1"/>
    <col min="28" max="28" width="6.42578125" customWidth="1"/>
    <col min="29" max="29" width="24.140625" customWidth="1"/>
    <col min="30" max="30" width="40" bestFit="1" customWidth="1"/>
    <col min="31" max="31" width="24.42578125" customWidth="1"/>
    <col min="32" max="32" width="40" bestFit="1" customWidth="1"/>
    <col min="33" max="33" width="20.7109375" customWidth="1"/>
    <col min="34" max="34" width="20.42578125" customWidth="1"/>
    <col min="35" max="35" width="12" customWidth="1"/>
    <col min="36" max="36" width="12" bestFit="1" customWidth="1"/>
  </cols>
  <sheetData>
    <row r="2" spans="2:36" ht="15.75" thickBot="1" x14ac:dyDescent="0.3">
      <c r="J2" s="72" t="s">
        <v>19</v>
      </c>
      <c r="K2" s="145" t="s">
        <v>64</v>
      </c>
      <c r="L2" s="145"/>
      <c r="M2" s="145"/>
    </row>
    <row r="3" spans="2:36" ht="15.75" thickBot="1" x14ac:dyDescent="0.3">
      <c r="C3" s="142" t="s">
        <v>3</v>
      </c>
      <c r="D3" s="144"/>
      <c r="E3" s="144"/>
      <c r="F3" s="144"/>
      <c r="G3" s="143"/>
      <c r="H3" s="21"/>
      <c r="I3" s="21"/>
      <c r="J3" s="73" t="s">
        <v>54</v>
      </c>
      <c r="K3" s="145" t="s">
        <v>65</v>
      </c>
      <c r="L3" s="145"/>
      <c r="M3" s="145"/>
      <c r="O3" s="59"/>
      <c r="P3" s="57"/>
    </row>
    <row r="4" spans="2:36" s="4" customFormat="1" ht="15.75" thickBot="1" x14ac:dyDescent="0.3">
      <c r="C4" s="3"/>
      <c r="D4" s="3"/>
      <c r="E4" s="3"/>
      <c r="F4" s="3"/>
      <c r="G4" s="3"/>
      <c r="H4" s="3"/>
      <c r="I4" s="3"/>
      <c r="J4" s="74" t="s">
        <v>18</v>
      </c>
      <c r="K4" s="146" t="s">
        <v>62</v>
      </c>
      <c r="L4" s="146"/>
      <c r="M4" s="146"/>
      <c r="O4" s="59"/>
      <c r="P4" s="57"/>
      <c r="Q4" s="94" t="s">
        <v>70</v>
      </c>
      <c r="R4" s="95" t="s">
        <v>5</v>
      </c>
      <c r="S4" s="95" t="s">
        <v>72</v>
      </c>
    </row>
    <row r="5" spans="2:36" ht="30.75" thickBot="1" x14ac:dyDescent="0.3">
      <c r="C5" s="142" t="s">
        <v>4</v>
      </c>
      <c r="D5" s="143"/>
      <c r="O5" s="59"/>
      <c r="P5" s="57"/>
      <c r="Q5" s="87" t="s">
        <v>71</v>
      </c>
      <c r="R5" s="88" t="s">
        <v>21</v>
      </c>
      <c r="S5" s="89">
        <v>1.6</v>
      </c>
      <c r="T5" s="58" t="s">
        <v>79</v>
      </c>
      <c r="U5" s="58" t="s">
        <v>78</v>
      </c>
    </row>
    <row r="6" spans="2:36" s="5" customFormat="1" ht="30.75" thickBot="1" x14ac:dyDescent="0.3">
      <c r="G6" s="140" t="s">
        <v>2</v>
      </c>
      <c r="H6" s="141"/>
      <c r="I6" s="140" t="s">
        <v>13</v>
      </c>
      <c r="J6" s="141"/>
      <c r="M6"/>
      <c r="N6" s="61"/>
      <c r="O6"/>
      <c r="P6"/>
      <c r="Q6" s="87" t="s">
        <v>71</v>
      </c>
      <c r="R6" s="90" t="s">
        <v>38</v>
      </c>
      <c r="S6" s="91">
        <v>2.6</v>
      </c>
      <c r="T6" s="58" t="s">
        <v>42</v>
      </c>
      <c r="U6" t="s">
        <v>38</v>
      </c>
      <c r="V6" t="s">
        <v>23</v>
      </c>
      <c r="W6" t="s">
        <v>21</v>
      </c>
      <c r="X6" t="s">
        <v>25</v>
      </c>
      <c r="Y6" t="s">
        <v>40</v>
      </c>
      <c r="Z6" t="s">
        <v>24</v>
      </c>
      <c r="AA6" t="s">
        <v>22</v>
      </c>
      <c r="AB6" t="s">
        <v>37</v>
      </c>
      <c r="AC6" t="s">
        <v>41</v>
      </c>
      <c r="AD6" t="s">
        <v>35</v>
      </c>
      <c r="AE6" t="s">
        <v>74</v>
      </c>
      <c r="AF6" t="s">
        <v>33</v>
      </c>
      <c r="AG6" t="s">
        <v>34</v>
      </c>
      <c r="AH6" t="s">
        <v>29</v>
      </c>
      <c r="AI6" t="s">
        <v>44</v>
      </c>
      <c r="AJ6"/>
    </row>
    <row r="7" spans="2:36" ht="15.75" thickBot="1" x14ac:dyDescent="0.3">
      <c r="B7" s="36" t="s">
        <v>7</v>
      </c>
      <c r="C7" s="79" t="s">
        <v>5</v>
      </c>
      <c r="D7" s="80" t="s">
        <v>0</v>
      </c>
      <c r="E7" s="9" t="s">
        <v>6</v>
      </c>
      <c r="F7" s="22" t="s">
        <v>1</v>
      </c>
      <c r="G7" s="79" t="s">
        <v>17</v>
      </c>
      <c r="H7" s="79" t="s">
        <v>16</v>
      </c>
      <c r="I7" s="79" t="s">
        <v>17</v>
      </c>
      <c r="J7" s="79" t="s">
        <v>16</v>
      </c>
      <c r="K7" s="79" t="s">
        <v>14</v>
      </c>
      <c r="L7" s="79" t="s">
        <v>15</v>
      </c>
      <c r="Q7" s="87" t="s">
        <v>73</v>
      </c>
      <c r="R7" s="92" t="s">
        <v>22</v>
      </c>
      <c r="S7" s="93">
        <f>$I$23</f>
        <v>-0.51666666666666672</v>
      </c>
      <c r="T7" s="59" t="s">
        <v>71</v>
      </c>
      <c r="U7" s="57">
        <v>2.6</v>
      </c>
      <c r="V7" s="57"/>
      <c r="W7" s="57">
        <v>1.6</v>
      </c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>
        <v>4.2</v>
      </c>
      <c r="AJ7" s="57"/>
    </row>
    <row r="8" spans="2:36" ht="30" x14ac:dyDescent="0.25">
      <c r="B8" s="12">
        <v>1</v>
      </c>
      <c r="C8" s="1" t="s">
        <v>20</v>
      </c>
      <c r="D8" s="16">
        <v>7</v>
      </c>
      <c r="E8" s="20">
        <v>53</v>
      </c>
      <c r="F8" s="23"/>
      <c r="G8" s="30">
        <f>E8-D8</f>
        <v>46</v>
      </c>
      <c r="H8" s="30"/>
      <c r="I8" s="65">
        <f>G8/D8</f>
        <v>6.5714285714285712</v>
      </c>
      <c r="J8" s="1"/>
      <c r="K8" s="1" t="s">
        <v>19</v>
      </c>
      <c r="L8" s="1" t="s">
        <v>60</v>
      </c>
      <c r="Q8" s="87" t="s">
        <v>73</v>
      </c>
      <c r="R8" s="88" t="s">
        <v>29</v>
      </c>
      <c r="S8" s="93">
        <f>$I$24</f>
        <v>1.2380952380952381</v>
      </c>
      <c r="T8" s="59" t="s">
        <v>73</v>
      </c>
      <c r="U8" s="57"/>
      <c r="V8" s="57"/>
      <c r="W8" s="57"/>
      <c r="X8" s="57"/>
      <c r="Y8" s="57">
        <v>-3.6363636363636362E-2</v>
      </c>
      <c r="Z8" s="57"/>
      <c r="AA8" s="57">
        <v>-0.51666666666666672</v>
      </c>
      <c r="AB8" s="57"/>
      <c r="AC8" s="57">
        <v>-0.1111111111111111</v>
      </c>
      <c r="AD8" s="57"/>
      <c r="AE8" s="57">
        <v>0</v>
      </c>
      <c r="AF8" s="57"/>
      <c r="AG8" s="57"/>
      <c r="AH8" s="57">
        <v>1.2380952380952381</v>
      </c>
      <c r="AI8" s="57">
        <v>0.57395382395382399</v>
      </c>
      <c r="AJ8" s="57"/>
    </row>
    <row r="9" spans="2:36" ht="48" customHeight="1" x14ac:dyDescent="0.25">
      <c r="B9" s="12">
        <v>2</v>
      </c>
      <c r="C9" s="50" t="s">
        <v>21</v>
      </c>
      <c r="D9" s="38">
        <v>10</v>
      </c>
      <c r="E9" s="15">
        <v>26</v>
      </c>
      <c r="F9" s="24"/>
      <c r="G9" s="12">
        <f t="shared" ref="G9:G14" si="0">E9-D9</f>
        <v>16</v>
      </c>
      <c r="H9" s="12"/>
      <c r="I9" s="42">
        <f t="shared" ref="I9:I13" si="1">G9/D9</f>
        <v>1.6</v>
      </c>
      <c r="J9" s="26"/>
      <c r="K9" s="26" t="s">
        <v>19</v>
      </c>
      <c r="L9" s="26"/>
      <c r="M9" s="4"/>
      <c r="N9" s="58" t="s">
        <v>42</v>
      </c>
      <c r="O9" t="s">
        <v>45</v>
      </c>
      <c r="Q9" s="87" t="s">
        <v>73</v>
      </c>
      <c r="R9" s="88" t="s">
        <v>74</v>
      </c>
      <c r="S9" s="93">
        <f>$I$25</f>
        <v>0</v>
      </c>
      <c r="T9" s="59" t="s">
        <v>75</v>
      </c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>
        <v>0.44</v>
      </c>
      <c r="AG9" s="57"/>
      <c r="AH9" s="57"/>
      <c r="AI9" s="57">
        <v>0.44</v>
      </c>
      <c r="AJ9" s="57"/>
    </row>
    <row r="10" spans="2:36" ht="30" x14ac:dyDescent="0.25">
      <c r="B10" s="12">
        <v>3</v>
      </c>
      <c r="C10" s="45" t="s">
        <v>28</v>
      </c>
      <c r="D10" s="38">
        <v>24</v>
      </c>
      <c r="E10" s="15">
        <v>49</v>
      </c>
      <c r="F10" s="24"/>
      <c r="G10" s="12">
        <f t="shared" si="0"/>
        <v>25</v>
      </c>
      <c r="H10" s="12"/>
      <c r="I10" s="42">
        <f t="shared" si="1"/>
        <v>1.0416666666666667</v>
      </c>
      <c r="J10" s="26"/>
      <c r="K10" s="26" t="s">
        <v>19</v>
      </c>
      <c r="L10" s="1" t="s">
        <v>60</v>
      </c>
      <c r="N10" s="59" t="s">
        <v>19</v>
      </c>
      <c r="O10" s="57">
        <v>4</v>
      </c>
      <c r="Q10" s="87" t="s">
        <v>73</v>
      </c>
      <c r="R10" s="88" t="s">
        <v>40</v>
      </c>
      <c r="S10" s="93">
        <f t="shared" ref="S10:S11" si="2">I27</f>
        <v>-3.6363636363636362E-2</v>
      </c>
      <c r="T10" s="59" t="s">
        <v>76</v>
      </c>
      <c r="U10" s="57"/>
      <c r="V10" s="57"/>
      <c r="W10" s="57"/>
      <c r="X10" s="57">
        <v>15.5</v>
      </c>
      <c r="Y10" s="57"/>
      <c r="Z10" s="57">
        <v>8.6</v>
      </c>
      <c r="AA10" s="57"/>
      <c r="AB10" s="57">
        <v>2.25</v>
      </c>
      <c r="AC10" s="57"/>
      <c r="AD10" s="57"/>
      <c r="AE10" s="57"/>
      <c r="AF10" s="57"/>
      <c r="AG10" s="57"/>
      <c r="AH10" s="57"/>
      <c r="AI10" s="57">
        <v>26.35</v>
      </c>
      <c r="AJ10" s="57"/>
    </row>
    <row r="11" spans="2:36" ht="50.25" customHeight="1" x14ac:dyDescent="0.25">
      <c r="B11" s="12">
        <v>4</v>
      </c>
      <c r="C11" s="45" t="s">
        <v>38</v>
      </c>
      <c r="D11" s="38">
        <v>5</v>
      </c>
      <c r="E11" s="15">
        <v>18</v>
      </c>
      <c r="F11" s="24"/>
      <c r="G11" s="12">
        <f t="shared" si="0"/>
        <v>13</v>
      </c>
      <c r="H11" s="12"/>
      <c r="I11" s="42">
        <f t="shared" si="1"/>
        <v>2.6</v>
      </c>
      <c r="J11" s="26"/>
      <c r="K11" s="26" t="s">
        <v>19</v>
      </c>
      <c r="L11" s="46" t="s">
        <v>39</v>
      </c>
      <c r="N11" s="59" t="s">
        <v>43</v>
      </c>
      <c r="O11" s="57"/>
      <c r="Q11" s="87" t="s">
        <v>73</v>
      </c>
      <c r="R11" s="88" t="s">
        <v>41</v>
      </c>
      <c r="S11" s="93">
        <f t="shared" si="2"/>
        <v>-0.1111111111111111</v>
      </c>
      <c r="T11" s="59" t="s">
        <v>77</v>
      </c>
      <c r="U11" s="57"/>
      <c r="V11" s="57">
        <v>3</v>
      </c>
      <c r="W11" s="57"/>
      <c r="X11" s="57"/>
      <c r="Y11" s="57"/>
      <c r="Z11" s="57"/>
      <c r="AA11" s="57"/>
      <c r="AB11" s="57"/>
      <c r="AC11" s="57"/>
      <c r="AD11" s="57">
        <v>0</v>
      </c>
      <c r="AE11" s="57"/>
      <c r="AF11" s="57"/>
      <c r="AG11" s="57">
        <v>1.0638297872340425</v>
      </c>
      <c r="AH11" s="57"/>
      <c r="AI11" s="57">
        <v>4.0638297872340425</v>
      </c>
      <c r="AJ11" s="57"/>
    </row>
    <row r="12" spans="2:36" ht="75" x14ac:dyDescent="0.25">
      <c r="B12" s="12">
        <v>5</v>
      </c>
      <c r="C12" s="12"/>
      <c r="D12" s="38"/>
      <c r="E12" s="15"/>
      <c r="F12" s="24"/>
      <c r="G12" s="12">
        <f t="shared" si="0"/>
        <v>0</v>
      </c>
      <c r="H12" s="12"/>
      <c r="I12" s="42" t="e">
        <f t="shared" si="1"/>
        <v>#DIV/0!</v>
      </c>
      <c r="J12" s="26"/>
      <c r="K12" s="26"/>
      <c r="L12" s="26"/>
      <c r="N12" s="59" t="s">
        <v>44</v>
      </c>
      <c r="O12" s="57">
        <v>4</v>
      </c>
      <c r="Q12" s="87" t="s">
        <v>75</v>
      </c>
      <c r="R12" s="88" t="s">
        <v>33</v>
      </c>
      <c r="S12" s="87">
        <f>$I$36</f>
        <v>0.44</v>
      </c>
      <c r="T12" s="59" t="s">
        <v>44</v>
      </c>
      <c r="U12" s="57">
        <v>2.6</v>
      </c>
      <c r="V12" s="57">
        <v>3</v>
      </c>
      <c r="W12" s="57">
        <v>1.6</v>
      </c>
      <c r="X12" s="57">
        <v>15.5</v>
      </c>
      <c r="Y12" s="57">
        <v>-3.6363636363636362E-2</v>
      </c>
      <c r="Z12" s="57">
        <v>8.6</v>
      </c>
      <c r="AA12" s="57">
        <v>-0.51666666666666672</v>
      </c>
      <c r="AB12" s="57">
        <v>2.25</v>
      </c>
      <c r="AC12" s="57">
        <v>-0.1111111111111111</v>
      </c>
      <c r="AD12" s="57">
        <v>0</v>
      </c>
      <c r="AE12" s="57">
        <v>0</v>
      </c>
      <c r="AF12" s="57">
        <v>0.44</v>
      </c>
      <c r="AG12" s="57">
        <v>1.0638297872340425</v>
      </c>
      <c r="AH12" s="57">
        <v>1.2380952380952381</v>
      </c>
      <c r="AI12" s="57">
        <v>35.627783611187866</v>
      </c>
      <c r="AJ12" s="57"/>
    </row>
    <row r="13" spans="2:36" ht="30.75" thickBot="1" x14ac:dyDescent="0.3">
      <c r="B13" s="13">
        <v>6</v>
      </c>
      <c r="C13" s="13"/>
      <c r="D13" s="39"/>
      <c r="E13" s="19"/>
      <c r="F13" s="25"/>
      <c r="G13" s="18">
        <f t="shared" si="0"/>
        <v>0</v>
      </c>
      <c r="H13" s="18"/>
      <c r="I13" s="54" t="e">
        <f t="shared" si="1"/>
        <v>#DIV/0!</v>
      </c>
      <c r="J13" s="31"/>
      <c r="K13" s="31"/>
      <c r="L13" s="27"/>
      <c r="Q13" s="87" t="s">
        <v>77</v>
      </c>
      <c r="R13" s="88" t="s">
        <v>23</v>
      </c>
      <c r="S13" s="89">
        <f t="shared" ref="S13:S15" si="3">I49</f>
        <v>3</v>
      </c>
    </row>
    <row r="14" spans="2:36" ht="30.75" thickBot="1" x14ac:dyDescent="0.3">
      <c r="C14" s="14" t="s">
        <v>8</v>
      </c>
      <c r="D14" s="6">
        <f>SUM(D8:D13)</f>
        <v>46</v>
      </c>
      <c r="E14" s="7">
        <f>SUM(E8:E13)</f>
        <v>146</v>
      </c>
      <c r="F14" s="6">
        <f>SUM(F8:F13)</f>
        <v>0</v>
      </c>
      <c r="G14" s="7">
        <f t="shared" si="0"/>
        <v>100</v>
      </c>
      <c r="H14" s="7"/>
      <c r="I14" s="55">
        <f>G14/D14</f>
        <v>2.1739130434782608</v>
      </c>
      <c r="J14" s="32"/>
      <c r="K14" s="32" t="s">
        <v>19</v>
      </c>
      <c r="L14" s="32"/>
      <c r="Q14" s="87" t="s">
        <v>77</v>
      </c>
      <c r="R14" s="88" t="s">
        <v>34</v>
      </c>
      <c r="S14" s="89">
        <f t="shared" si="3"/>
        <v>1.0638297872340425</v>
      </c>
    </row>
    <row r="15" spans="2:36" ht="75" x14ac:dyDescent="0.25">
      <c r="C15" s="81"/>
      <c r="D15" s="56"/>
      <c r="E15" s="56"/>
      <c r="F15" s="56"/>
      <c r="G15" s="56"/>
      <c r="H15" s="56"/>
      <c r="I15" s="82"/>
      <c r="J15" s="83"/>
      <c r="K15" s="83"/>
      <c r="L15" s="83"/>
      <c r="Q15" s="87" t="s">
        <v>77</v>
      </c>
      <c r="R15" s="88" t="s">
        <v>35</v>
      </c>
      <c r="S15" s="89">
        <f t="shared" si="3"/>
        <v>0</v>
      </c>
    </row>
    <row r="16" spans="2:36" ht="45" x14ac:dyDescent="0.25">
      <c r="C16" s="81"/>
      <c r="D16" s="56"/>
      <c r="E16" s="56"/>
      <c r="F16" s="56"/>
      <c r="G16" s="56"/>
      <c r="H16" s="56"/>
      <c r="Q16" s="87" t="s">
        <v>76</v>
      </c>
      <c r="R16" s="88" t="s">
        <v>24</v>
      </c>
      <c r="S16" s="89">
        <f t="shared" ref="S16:S18" si="4">I63</f>
        <v>8.6</v>
      </c>
    </row>
    <row r="17" spans="2:19" ht="30" x14ac:dyDescent="0.25">
      <c r="C17" s="81"/>
      <c r="D17" s="56"/>
      <c r="E17" s="56"/>
      <c r="F17" s="56"/>
      <c r="G17" s="56"/>
      <c r="H17" s="56"/>
      <c r="J17" s="72" t="s">
        <v>19</v>
      </c>
      <c r="K17" s="145" t="s">
        <v>67</v>
      </c>
      <c r="L17" s="145"/>
      <c r="M17" s="145"/>
      <c r="Q17" s="87" t="s">
        <v>76</v>
      </c>
      <c r="R17" s="88" t="s">
        <v>25</v>
      </c>
      <c r="S17" s="89">
        <f t="shared" si="4"/>
        <v>15.5</v>
      </c>
    </row>
    <row r="18" spans="2:19" x14ac:dyDescent="0.25">
      <c r="I18" s="21"/>
      <c r="J18" s="73" t="s">
        <v>54</v>
      </c>
      <c r="K18" s="145" t="s">
        <v>66</v>
      </c>
      <c r="L18" s="145"/>
      <c r="M18" s="145"/>
      <c r="Q18" s="87" t="s">
        <v>76</v>
      </c>
      <c r="R18" s="92" t="s">
        <v>37</v>
      </c>
      <c r="S18" s="89">
        <f t="shared" si="4"/>
        <v>2.25</v>
      </c>
    </row>
    <row r="19" spans="2:19" ht="15.75" thickBot="1" x14ac:dyDescent="0.3">
      <c r="I19" s="3"/>
      <c r="J19" s="74" t="s">
        <v>18</v>
      </c>
      <c r="K19" s="146" t="s">
        <v>62</v>
      </c>
      <c r="L19" s="146"/>
      <c r="M19" s="146"/>
    </row>
    <row r="20" spans="2:19" ht="15.75" thickBot="1" x14ac:dyDescent="0.3">
      <c r="C20" s="142" t="s">
        <v>9</v>
      </c>
      <c r="D20" s="143"/>
    </row>
    <row r="21" spans="2:19" ht="15.75" thickBot="1" x14ac:dyDescent="0.3">
      <c r="B21" s="5"/>
      <c r="C21" s="5"/>
      <c r="D21" s="5"/>
      <c r="E21" s="5"/>
      <c r="F21" s="5"/>
      <c r="G21" s="140" t="s">
        <v>2</v>
      </c>
      <c r="H21" s="141"/>
      <c r="I21" s="140" t="s">
        <v>13</v>
      </c>
      <c r="J21" s="141"/>
    </row>
    <row r="22" spans="2:19" ht="15.75" thickBot="1" x14ac:dyDescent="0.3">
      <c r="B22" s="22" t="s">
        <v>7</v>
      </c>
      <c r="C22" s="79" t="s">
        <v>5</v>
      </c>
      <c r="D22" s="80" t="s">
        <v>0</v>
      </c>
      <c r="E22" s="9" t="s">
        <v>6</v>
      </c>
      <c r="F22" s="79" t="s">
        <v>1</v>
      </c>
      <c r="G22" s="79" t="s">
        <v>17</v>
      </c>
      <c r="H22" s="79" t="s">
        <v>16</v>
      </c>
      <c r="I22" s="79" t="s">
        <v>17</v>
      </c>
      <c r="J22" s="79" t="s">
        <v>16</v>
      </c>
      <c r="K22" s="22" t="s">
        <v>14</v>
      </c>
      <c r="L22" s="79" t="s">
        <v>15</v>
      </c>
      <c r="N22" s="58" t="s">
        <v>42</v>
      </c>
      <c r="O22" t="s">
        <v>45</v>
      </c>
    </row>
    <row r="23" spans="2:19" x14ac:dyDescent="0.25">
      <c r="B23" s="62">
        <v>1</v>
      </c>
      <c r="C23" s="63" t="s">
        <v>22</v>
      </c>
      <c r="D23" s="16">
        <v>60</v>
      </c>
      <c r="E23" s="20">
        <v>29</v>
      </c>
      <c r="F23" s="1"/>
      <c r="G23" s="30">
        <f>E23-D23</f>
        <v>-31</v>
      </c>
      <c r="H23" s="30"/>
      <c r="I23" s="64">
        <f>G23/D23</f>
        <v>-0.51666666666666672</v>
      </c>
      <c r="J23" s="1"/>
      <c r="K23" s="23" t="s">
        <v>18</v>
      </c>
      <c r="L23" s="75"/>
      <c r="N23" s="59" t="s">
        <v>18</v>
      </c>
      <c r="O23" s="57">
        <v>4</v>
      </c>
    </row>
    <row r="24" spans="2:19" ht="90" x14ac:dyDescent="0.25">
      <c r="B24" s="24">
        <v>2</v>
      </c>
      <c r="C24" s="50" t="s">
        <v>29</v>
      </c>
      <c r="D24" s="38">
        <v>21</v>
      </c>
      <c r="E24" s="15">
        <v>47</v>
      </c>
      <c r="F24" s="12"/>
      <c r="G24" s="30">
        <f t="shared" ref="G24:G30" si="5">E24-D24</f>
        <v>26</v>
      </c>
      <c r="H24" s="12"/>
      <c r="I24" s="41">
        <f t="shared" ref="I24:I30" si="6">G24/D24</f>
        <v>1.2380952380952381</v>
      </c>
      <c r="J24" s="26"/>
      <c r="K24" s="76" t="s">
        <v>19</v>
      </c>
      <c r="L24" s="46" t="s">
        <v>69</v>
      </c>
      <c r="N24" s="59" t="s">
        <v>19</v>
      </c>
      <c r="O24" s="57">
        <v>1</v>
      </c>
    </row>
    <row r="25" spans="2:19" ht="75" x14ac:dyDescent="0.25">
      <c r="B25" s="24">
        <v>3</v>
      </c>
      <c r="C25" s="40" t="s">
        <v>30</v>
      </c>
      <c r="D25" s="38">
        <v>11</v>
      </c>
      <c r="E25" s="15">
        <v>11</v>
      </c>
      <c r="F25" s="12"/>
      <c r="G25" s="30">
        <f t="shared" si="5"/>
        <v>0</v>
      </c>
      <c r="H25" s="12"/>
      <c r="I25" s="41">
        <f t="shared" si="6"/>
        <v>0</v>
      </c>
      <c r="J25" s="26"/>
      <c r="K25" s="76" t="s">
        <v>18</v>
      </c>
      <c r="L25" s="40" t="s">
        <v>52</v>
      </c>
      <c r="N25" s="59" t="s">
        <v>43</v>
      </c>
      <c r="O25" s="57">
        <v>1</v>
      </c>
    </row>
    <row r="26" spans="2:19" ht="60" x14ac:dyDescent="0.25">
      <c r="B26" s="24">
        <v>4</v>
      </c>
      <c r="C26" s="40" t="s">
        <v>31</v>
      </c>
      <c r="D26" s="38"/>
      <c r="E26" s="15"/>
      <c r="F26" s="12"/>
      <c r="G26" s="30">
        <f t="shared" si="5"/>
        <v>0</v>
      </c>
      <c r="H26" s="12"/>
      <c r="I26" s="41" t="e">
        <f t="shared" si="6"/>
        <v>#DIV/0!</v>
      </c>
      <c r="J26" s="26"/>
      <c r="K26" s="76"/>
      <c r="L26" s="46" t="s">
        <v>32</v>
      </c>
      <c r="N26" s="59" t="s">
        <v>44</v>
      </c>
      <c r="O26" s="57">
        <v>6</v>
      </c>
    </row>
    <row r="27" spans="2:19" x14ac:dyDescent="0.25">
      <c r="B27" s="24">
        <v>5</v>
      </c>
      <c r="C27" s="40" t="s">
        <v>40</v>
      </c>
      <c r="D27" s="38">
        <v>55</v>
      </c>
      <c r="E27" s="15">
        <v>53</v>
      </c>
      <c r="F27" s="12"/>
      <c r="G27" s="30">
        <f t="shared" si="5"/>
        <v>-2</v>
      </c>
      <c r="H27" s="12"/>
      <c r="I27" s="41">
        <f t="shared" si="6"/>
        <v>-3.6363636363636362E-2</v>
      </c>
      <c r="J27" s="26"/>
      <c r="K27" s="76" t="s">
        <v>18</v>
      </c>
      <c r="L27" s="26"/>
    </row>
    <row r="28" spans="2:19" ht="30" x14ac:dyDescent="0.25">
      <c r="B28" s="24">
        <v>6</v>
      </c>
      <c r="C28" s="40" t="s">
        <v>41</v>
      </c>
      <c r="D28" s="38">
        <v>45</v>
      </c>
      <c r="E28" s="15">
        <v>40</v>
      </c>
      <c r="F28" s="12"/>
      <c r="G28" s="30">
        <f t="shared" si="5"/>
        <v>-5</v>
      </c>
      <c r="H28" s="12"/>
      <c r="I28" s="41">
        <f t="shared" si="6"/>
        <v>-0.1111111111111111</v>
      </c>
      <c r="J28" s="26"/>
      <c r="K28" s="76" t="s">
        <v>18</v>
      </c>
      <c r="L28" s="26"/>
    </row>
    <row r="29" spans="2:19" ht="15.75" thickBot="1" x14ac:dyDescent="0.3">
      <c r="B29" s="48">
        <v>7</v>
      </c>
      <c r="C29" s="13"/>
      <c r="D29" s="39"/>
      <c r="E29" s="19"/>
      <c r="F29" s="18"/>
      <c r="G29" s="53">
        <f t="shared" si="5"/>
        <v>0</v>
      </c>
      <c r="H29" s="18"/>
      <c r="I29" s="51" t="e">
        <f t="shared" si="6"/>
        <v>#DIV/0!</v>
      </c>
      <c r="J29" s="31"/>
      <c r="K29" s="77"/>
      <c r="L29" s="27"/>
    </row>
    <row r="30" spans="2:19" ht="15.75" thickBot="1" x14ac:dyDescent="0.3">
      <c r="C30" s="49" t="s">
        <v>8</v>
      </c>
      <c r="D30" s="6">
        <f>SUM(D23:D29)</f>
        <v>192</v>
      </c>
      <c r="E30" s="7">
        <f>SUM(E23:E29)</f>
        <v>180</v>
      </c>
      <c r="F30" s="7">
        <f>SUM(F23:F29)</f>
        <v>0</v>
      </c>
      <c r="G30" s="7">
        <f t="shared" si="5"/>
        <v>-12</v>
      </c>
      <c r="H30" s="7"/>
      <c r="I30" s="52">
        <f t="shared" si="6"/>
        <v>-6.25E-2</v>
      </c>
      <c r="J30" s="32"/>
      <c r="K30" s="32" t="s">
        <v>18</v>
      </c>
      <c r="L30" s="32"/>
    </row>
    <row r="32" spans="2:19" ht="15.75" thickBot="1" x14ac:dyDescent="0.3"/>
    <row r="33" spans="2:15" ht="15.75" thickBot="1" x14ac:dyDescent="0.3">
      <c r="C33" s="142" t="s">
        <v>10</v>
      </c>
      <c r="D33" s="143"/>
    </row>
    <row r="34" spans="2:15" ht="15.75" thickBot="1" x14ac:dyDescent="0.3">
      <c r="B34" s="5"/>
      <c r="C34" s="5"/>
      <c r="D34" s="5"/>
      <c r="E34" s="5"/>
      <c r="F34" s="5"/>
      <c r="G34" s="140" t="s">
        <v>2</v>
      </c>
      <c r="H34" s="141"/>
      <c r="I34" s="140" t="s">
        <v>13</v>
      </c>
      <c r="J34" s="141"/>
      <c r="N34" s="58" t="s">
        <v>42</v>
      </c>
      <c r="O34" t="s">
        <v>45</v>
      </c>
    </row>
    <row r="35" spans="2:15" ht="15.75" thickBot="1" x14ac:dyDescent="0.3">
      <c r="B35" s="79" t="s">
        <v>7</v>
      </c>
      <c r="C35" s="9" t="s">
        <v>5</v>
      </c>
      <c r="D35" s="79" t="s">
        <v>0</v>
      </c>
      <c r="E35" s="9" t="s">
        <v>6</v>
      </c>
      <c r="F35" s="79" t="s">
        <v>1</v>
      </c>
      <c r="G35" s="22" t="s">
        <v>17</v>
      </c>
      <c r="H35" s="79" t="s">
        <v>16</v>
      </c>
      <c r="I35" s="79" t="s">
        <v>17</v>
      </c>
      <c r="J35" s="79" t="s">
        <v>16</v>
      </c>
      <c r="K35" s="79" t="s">
        <v>14</v>
      </c>
      <c r="L35" s="79" t="s">
        <v>15</v>
      </c>
      <c r="N35" s="59" t="s">
        <v>26</v>
      </c>
      <c r="O35" s="57">
        <v>1</v>
      </c>
    </row>
    <row r="36" spans="2:15" ht="45" x14ac:dyDescent="0.25">
      <c r="B36" s="11">
        <v>1</v>
      </c>
      <c r="C36" s="37" t="s">
        <v>33</v>
      </c>
      <c r="D36" s="1">
        <v>25</v>
      </c>
      <c r="E36" s="2">
        <v>36</v>
      </c>
      <c r="F36" s="1"/>
      <c r="G36" s="20">
        <f>E36-D36</f>
        <v>11</v>
      </c>
      <c r="H36" s="30"/>
      <c r="I36" s="30">
        <f>G36/D36</f>
        <v>0.44</v>
      </c>
      <c r="J36" s="1"/>
      <c r="K36" s="1" t="s">
        <v>26</v>
      </c>
      <c r="L36" s="78" t="s">
        <v>58</v>
      </c>
      <c r="N36" s="59" t="s">
        <v>43</v>
      </c>
      <c r="O36" s="57"/>
    </row>
    <row r="37" spans="2:15" x14ac:dyDescent="0.25">
      <c r="B37" s="12">
        <v>2</v>
      </c>
      <c r="C37" s="15"/>
      <c r="D37" s="12"/>
      <c r="E37" s="15"/>
      <c r="F37" s="12"/>
      <c r="G37" s="20">
        <f t="shared" ref="G37:G43" si="7">E37-D37</f>
        <v>0</v>
      </c>
      <c r="H37" s="12"/>
      <c r="I37" s="12" t="e">
        <f t="shared" ref="I37:I43" si="8">G37/D37</f>
        <v>#DIV/0!</v>
      </c>
      <c r="J37" s="26"/>
      <c r="K37" s="26"/>
      <c r="L37" s="26"/>
      <c r="N37" s="59" t="s">
        <v>44</v>
      </c>
      <c r="O37" s="57">
        <v>1</v>
      </c>
    </row>
    <row r="38" spans="2:15" x14ac:dyDescent="0.25">
      <c r="B38" s="12">
        <v>3</v>
      </c>
      <c r="C38" s="15"/>
      <c r="D38" s="12"/>
      <c r="E38" s="15"/>
      <c r="F38" s="12"/>
      <c r="G38" s="20">
        <f t="shared" si="7"/>
        <v>0</v>
      </c>
      <c r="H38" s="12"/>
      <c r="I38" s="12" t="e">
        <f t="shared" si="8"/>
        <v>#DIV/0!</v>
      </c>
      <c r="J38" s="26"/>
      <c r="K38" s="26"/>
      <c r="L38" s="26"/>
    </row>
    <row r="39" spans="2:15" x14ac:dyDescent="0.25">
      <c r="B39" s="12">
        <v>4</v>
      </c>
      <c r="C39" s="15"/>
      <c r="D39" s="12"/>
      <c r="E39" s="15"/>
      <c r="F39" s="12"/>
      <c r="G39" s="20">
        <f t="shared" si="7"/>
        <v>0</v>
      </c>
      <c r="H39" s="12"/>
      <c r="I39" s="12" t="e">
        <f t="shared" si="8"/>
        <v>#DIV/0!</v>
      </c>
      <c r="J39" s="26"/>
      <c r="K39" s="26"/>
      <c r="L39" s="26"/>
    </row>
    <row r="40" spans="2:15" x14ac:dyDescent="0.25">
      <c r="B40" s="12">
        <v>5</v>
      </c>
      <c r="C40" s="15"/>
      <c r="D40" s="12"/>
      <c r="E40" s="15"/>
      <c r="F40" s="12"/>
      <c r="G40" s="20">
        <f t="shared" si="7"/>
        <v>0</v>
      </c>
      <c r="H40" s="12"/>
      <c r="I40" s="12" t="e">
        <f t="shared" si="8"/>
        <v>#DIV/0!</v>
      </c>
      <c r="J40" s="26"/>
      <c r="K40" s="26"/>
      <c r="L40" s="26"/>
    </row>
    <row r="41" spans="2:15" x14ac:dyDescent="0.25">
      <c r="B41" s="12">
        <v>6</v>
      </c>
      <c r="C41" s="15"/>
      <c r="D41" s="12"/>
      <c r="E41" s="15"/>
      <c r="F41" s="12"/>
      <c r="G41" s="20">
        <f t="shared" si="7"/>
        <v>0</v>
      </c>
      <c r="H41" s="12"/>
      <c r="I41" s="12" t="e">
        <f t="shared" si="8"/>
        <v>#DIV/0!</v>
      </c>
      <c r="J41" s="26"/>
      <c r="K41" s="26"/>
      <c r="L41" s="26"/>
    </row>
    <row r="42" spans="2:15" ht="15.75" thickBot="1" x14ac:dyDescent="0.3">
      <c r="B42" s="13">
        <v>7</v>
      </c>
      <c r="C42" s="17"/>
      <c r="D42" s="18"/>
      <c r="E42" s="19"/>
      <c r="F42" s="18"/>
      <c r="G42" s="56">
        <f t="shared" si="7"/>
        <v>0</v>
      </c>
      <c r="H42" s="18"/>
      <c r="I42" s="18" t="e">
        <f t="shared" si="8"/>
        <v>#DIV/0!</v>
      </c>
      <c r="J42" s="31"/>
      <c r="K42" s="31"/>
      <c r="L42" s="27"/>
    </row>
    <row r="43" spans="2:15" ht="15.75" thickBot="1" x14ac:dyDescent="0.3">
      <c r="C43" s="14" t="s">
        <v>8</v>
      </c>
      <c r="D43" s="6">
        <f>SUM(D36:D42)</f>
        <v>25</v>
      </c>
      <c r="E43" s="7">
        <f>SUM(E36:E42)</f>
        <v>36</v>
      </c>
      <c r="F43" s="7">
        <f>SUM(F36:F42)</f>
        <v>0</v>
      </c>
      <c r="G43" s="7">
        <f t="shared" si="7"/>
        <v>11</v>
      </c>
      <c r="H43" s="7"/>
      <c r="I43" s="7">
        <f t="shared" si="8"/>
        <v>0.44</v>
      </c>
      <c r="J43" s="32"/>
      <c r="K43" s="32" t="s">
        <v>26</v>
      </c>
      <c r="L43" s="32"/>
    </row>
    <row r="45" spans="2:15" ht="15.75" thickBot="1" x14ac:dyDescent="0.3"/>
    <row r="46" spans="2:15" ht="15.75" thickBot="1" x14ac:dyDescent="0.3">
      <c r="C46" s="142" t="s">
        <v>11</v>
      </c>
      <c r="D46" s="143"/>
    </row>
    <row r="47" spans="2:15" ht="15.75" thickBot="1" x14ac:dyDescent="0.3">
      <c r="B47" s="5"/>
      <c r="C47" s="5"/>
      <c r="D47" s="5"/>
      <c r="E47" s="5"/>
      <c r="F47" s="5"/>
      <c r="G47" s="140" t="s">
        <v>2</v>
      </c>
      <c r="H47" s="141"/>
      <c r="I47" s="140" t="s">
        <v>13</v>
      </c>
      <c r="J47" s="141"/>
      <c r="N47" s="58" t="s">
        <v>42</v>
      </c>
      <c r="O47" t="s">
        <v>45</v>
      </c>
    </row>
    <row r="48" spans="2:15" ht="15.75" thickBot="1" x14ac:dyDescent="0.3">
      <c r="B48" s="22" t="s">
        <v>7</v>
      </c>
      <c r="C48" s="36" t="s">
        <v>5</v>
      </c>
      <c r="D48" s="80" t="s">
        <v>0</v>
      </c>
      <c r="E48" s="9" t="s">
        <v>6</v>
      </c>
      <c r="F48" s="79" t="s">
        <v>1</v>
      </c>
      <c r="G48" s="22" t="s">
        <v>17</v>
      </c>
      <c r="H48" s="79" t="s">
        <v>16</v>
      </c>
      <c r="I48" s="79" t="s">
        <v>17</v>
      </c>
      <c r="J48" s="79" t="s">
        <v>16</v>
      </c>
      <c r="K48" s="22" t="s">
        <v>14</v>
      </c>
      <c r="L48" s="36" t="s">
        <v>15</v>
      </c>
      <c r="N48" s="59" t="s">
        <v>18</v>
      </c>
      <c r="O48" s="57">
        <v>1</v>
      </c>
    </row>
    <row r="49" spans="2:15" x14ac:dyDescent="0.25">
      <c r="B49" s="47">
        <v>1</v>
      </c>
      <c r="C49" s="50" t="s">
        <v>23</v>
      </c>
      <c r="D49" s="16">
        <v>10</v>
      </c>
      <c r="E49" s="20">
        <v>40</v>
      </c>
      <c r="F49" s="1"/>
      <c r="G49" s="20">
        <f>E49-D49</f>
        <v>30</v>
      </c>
      <c r="H49" s="30"/>
      <c r="I49" s="66">
        <f>G49/D49</f>
        <v>3</v>
      </c>
      <c r="J49" s="1"/>
      <c r="K49" s="23" t="s">
        <v>19</v>
      </c>
      <c r="L49" s="26"/>
      <c r="N49" s="59" t="s">
        <v>19</v>
      </c>
      <c r="O49" s="57">
        <v>2</v>
      </c>
    </row>
    <row r="50" spans="2:15" ht="60" x14ac:dyDescent="0.25">
      <c r="B50" s="24">
        <v>2</v>
      </c>
      <c r="C50" s="50" t="s">
        <v>34</v>
      </c>
      <c r="D50" s="38">
        <v>47</v>
      </c>
      <c r="E50" s="15">
        <v>97</v>
      </c>
      <c r="F50" s="12"/>
      <c r="G50" s="20">
        <f t="shared" ref="G50:G56" si="9">E50-D50</f>
        <v>50</v>
      </c>
      <c r="H50" s="12"/>
      <c r="I50" s="42">
        <f t="shared" ref="I50:I56" si="10">G50/D50</f>
        <v>1.0638297872340425</v>
      </c>
      <c r="J50" s="26"/>
      <c r="K50" s="76" t="s">
        <v>19</v>
      </c>
      <c r="L50" s="84" t="s">
        <v>68</v>
      </c>
      <c r="N50" s="59" t="s">
        <v>43</v>
      </c>
      <c r="O50" s="57"/>
    </row>
    <row r="51" spans="2:15" ht="45" x14ac:dyDescent="0.25">
      <c r="B51" s="24">
        <v>3</v>
      </c>
      <c r="C51" s="40" t="s">
        <v>35</v>
      </c>
      <c r="D51" s="38">
        <v>28</v>
      </c>
      <c r="E51" s="15">
        <v>28</v>
      </c>
      <c r="F51" s="12"/>
      <c r="G51" s="20">
        <f t="shared" si="9"/>
        <v>0</v>
      </c>
      <c r="H51" s="12"/>
      <c r="I51" s="42">
        <f t="shared" si="10"/>
        <v>0</v>
      </c>
      <c r="J51" s="26"/>
      <c r="K51" s="76" t="s">
        <v>18</v>
      </c>
      <c r="L51" s="40" t="s">
        <v>58</v>
      </c>
      <c r="N51" s="59" t="s">
        <v>44</v>
      </c>
      <c r="O51" s="57">
        <v>3</v>
      </c>
    </row>
    <row r="52" spans="2:15" x14ac:dyDescent="0.25">
      <c r="B52" s="24">
        <v>4</v>
      </c>
      <c r="C52" s="12"/>
      <c r="D52" s="38"/>
      <c r="E52" s="15"/>
      <c r="F52" s="12"/>
      <c r="G52" s="20">
        <f t="shared" si="9"/>
        <v>0</v>
      </c>
      <c r="H52" s="12"/>
      <c r="I52" s="42" t="e">
        <f t="shared" si="10"/>
        <v>#DIV/0!</v>
      </c>
      <c r="J52" s="26"/>
      <c r="K52" s="76"/>
      <c r="L52" s="26"/>
    </row>
    <row r="53" spans="2:15" x14ac:dyDescent="0.25">
      <c r="B53" s="24">
        <v>5</v>
      </c>
      <c r="C53" s="12"/>
      <c r="D53" s="38"/>
      <c r="E53" s="15"/>
      <c r="F53" s="12"/>
      <c r="G53" s="20">
        <f t="shared" si="9"/>
        <v>0</v>
      </c>
      <c r="H53" s="12"/>
      <c r="I53" s="42" t="e">
        <f t="shared" si="10"/>
        <v>#DIV/0!</v>
      </c>
      <c r="J53" s="26"/>
      <c r="K53" s="76"/>
      <c r="L53" s="26"/>
    </row>
    <row r="54" spans="2:15" x14ac:dyDescent="0.25">
      <c r="B54" s="24">
        <v>6</v>
      </c>
      <c r="C54" s="12"/>
      <c r="D54" s="38"/>
      <c r="E54" s="15"/>
      <c r="F54" s="12"/>
      <c r="G54" s="20">
        <f t="shared" si="9"/>
        <v>0</v>
      </c>
      <c r="H54" s="12"/>
      <c r="I54" s="42" t="e">
        <f t="shared" si="10"/>
        <v>#DIV/0!</v>
      </c>
      <c r="J54" s="26"/>
      <c r="K54" s="76"/>
      <c r="L54" s="26"/>
    </row>
    <row r="55" spans="2:15" ht="15.75" thickBot="1" x14ac:dyDescent="0.3">
      <c r="B55" s="48">
        <v>7</v>
      </c>
      <c r="C55" s="13"/>
      <c r="D55" s="39"/>
      <c r="E55" s="19"/>
      <c r="F55" s="18"/>
      <c r="G55" s="56">
        <f t="shared" si="9"/>
        <v>0</v>
      </c>
      <c r="H55" s="18"/>
      <c r="I55" s="42" t="e">
        <f t="shared" si="10"/>
        <v>#DIV/0!</v>
      </c>
      <c r="J55" s="31"/>
      <c r="K55" s="77"/>
      <c r="L55" s="27"/>
    </row>
    <row r="56" spans="2:15" ht="15.75" thickBot="1" x14ac:dyDescent="0.3">
      <c r="C56" s="14" t="s">
        <v>8</v>
      </c>
      <c r="D56" s="6">
        <f>SUM(D49:D55)</f>
        <v>85</v>
      </c>
      <c r="E56" s="7">
        <f>SUM(E49:E55)</f>
        <v>165</v>
      </c>
      <c r="F56" s="7">
        <f>SUM(F49:F55)</f>
        <v>0</v>
      </c>
      <c r="G56" s="7">
        <f t="shared" si="9"/>
        <v>80</v>
      </c>
      <c r="H56" s="7"/>
      <c r="I56" s="42">
        <f t="shared" si="10"/>
        <v>0.94117647058823528</v>
      </c>
      <c r="J56" s="32"/>
      <c r="K56" s="32" t="s">
        <v>19</v>
      </c>
      <c r="L56" s="32"/>
    </row>
    <row r="59" spans="2:15" ht="15.75" thickBot="1" x14ac:dyDescent="0.3"/>
    <row r="60" spans="2:15" ht="15.75" thickBot="1" x14ac:dyDescent="0.3">
      <c r="C60" s="142" t="s">
        <v>12</v>
      </c>
      <c r="D60" s="143"/>
    </row>
    <row r="61" spans="2:15" ht="15.75" thickBot="1" x14ac:dyDescent="0.3">
      <c r="B61" s="5"/>
      <c r="C61" s="5"/>
      <c r="D61" s="5"/>
      <c r="E61" s="5"/>
      <c r="F61" s="5"/>
      <c r="G61" s="140" t="s">
        <v>2</v>
      </c>
      <c r="H61" s="141"/>
      <c r="I61" s="140" t="s">
        <v>13</v>
      </c>
      <c r="J61" s="141"/>
    </row>
    <row r="62" spans="2:15" ht="15.75" thickBot="1" x14ac:dyDescent="0.3">
      <c r="B62" s="22" t="s">
        <v>7</v>
      </c>
      <c r="C62" s="79" t="s">
        <v>5</v>
      </c>
      <c r="D62" s="80" t="s">
        <v>0</v>
      </c>
      <c r="E62" s="9" t="s">
        <v>6</v>
      </c>
      <c r="F62" s="79" t="s">
        <v>1</v>
      </c>
      <c r="G62" s="22" t="s">
        <v>17</v>
      </c>
      <c r="H62" s="79" t="s">
        <v>16</v>
      </c>
      <c r="I62" s="79" t="s">
        <v>17</v>
      </c>
      <c r="J62" s="80" t="s">
        <v>16</v>
      </c>
      <c r="K62" s="79" t="s">
        <v>14</v>
      </c>
      <c r="L62" s="79" t="s">
        <v>15</v>
      </c>
      <c r="N62" s="58" t="s">
        <v>42</v>
      </c>
      <c r="O62" t="s">
        <v>45</v>
      </c>
    </row>
    <row r="63" spans="2:15" ht="30" x14ac:dyDescent="0.25">
      <c r="B63" s="47">
        <v>1</v>
      </c>
      <c r="C63" s="67" t="s">
        <v>24</v>
      </c>
      <c r="D63" s="16">
        <v>10</v>
      </c>
      <c r="E63" s="20">
        <v>96</v>
      </c>
      <c r="F63" s="1"/>
      <c r="G63" s="20">
        <f>E63-D63</f>
        <v>86</v>
      </c>
      <c r="H63" s="30"/>
      <c r="I63" s="66">
        <f>G63/D63</f>
        <v>8.6</v>
      </c>
      <c r="J63" s="1"/>
      <c r="K63" s="1" t="s">
        <v>19</v>
      </c>
      <c r="L63" s="1"/>
      <c r="N63" s="59" t="s">
        <v>19</v>
      </c>
      <c r="O63" s="57">
        <v>3</v>
      </c>
    </row>
    <row r="64" spans="2:15" x14ac:dyDescent="0.25">
      <c r="B64" s="24">
        <v>2</v>
      </c>
      <c r="C64" s="50" t="s">
        <v>25</v>
      </c>
      <c r="D64" s="38">
        <v>10</v>
      </c>
      <c r="E64" s="15">
        <v>165</v>
      </c>
      <c r="F64" s="12"/>
      <c r="G64" s="20">
        <f t="shared" ref="G64:G70" si="11">E64-D64</f>
        <v>155</v>
      </c>
      <c r="H64" s="12"/>
      <c r="I64" s="42">
        <f t="shared" ref="I64:I70" si="12">G64/D64</f>
        <v>15.5</v>
      </c>
      <c r="J64" s="26"/>
      <c r="K64" s="26" t="s">
        <v>19</v>
      </c>
      <c r="L64" s="26"/>
      <c r="N64" s="59" t="s">
        <v>43</v>
      </c>
      <c r="O64" s="57"/>
    </row>
    <row r="65" spans="2:15" x14ac:dyDescent="0.25">
      <c r="B65" s="24">
        <v>3</v>
      </c>
      <c r="C65" s="50" t="s">
        <v>37</v>
      </c>
      <c r="D65" s="38">
        <v>8</v>
      </c>
      <c r="E65" s="15">
        <v>26</v>
      </c>
      <c r="F65" s="12"/>
      <c r="G65" s="20">
        <f t="shared" si="11"/>
        <v>18</v>
      </c>
      <c r="H65" s="12"/>
      <c r="I65" s="42">
        <f t="shared" si="12"/>
        <v>2.25</v>
      </c>
      <c r="J65" s="26"/>
      <c r="K65" s="26" t="s">
        <v>19</v>
      </c>
      <c r="L65" s="26" t="s">
        <v>59</v>
      </c>
      <c r="N65" s="59" t="s">
        <v>44</v>
      </c>
      <c r="O65" s="57">
        <v>3</v>
      </c>
    </row>
    <row r="66" spans="2:15" x14ac:dyDescent="0.25">
      <c r="B66" s="24">
        <v>4</v>
      </c>
      <c r="C66" s="12"/>
      <c r="D66" s="38"/>
      <c r="E66" s="15"/>
      <c r="F66" s="12"/>
      <c r="G66" s="20">
        <f t="shared" si="11"/>
        <v>0</v>
      </c>
      <c r="H66" s="12"/>
      <c r="I66" s="42" t="e">
        <f t="shared" si="12"/>
        <v>#DIV/0!</v>
      </c>
      <c r="J66" s="26"/>
      <c r="K66" s="26"/>
      <c r="L66" s="26"/>
    </row>
    <row r="67" spans="2:15" x14ac:dyDescent="0.25">
      <c r="B67" s="24">
        <v>5</v>
      </c>
      <c r="C67" s="12"/>
      <c r="D67" s="38"/>
      <c r="E67" s="15"/>
      <c r="F67" s="12"/>
      <c r="G67" s="20">
        <f t="shared" si="11"/>
        <v>0</v>
      </c>
      <c r="H67" s="12"/>
      <c r="I67" s="42" t="e">
        <f t="shared" si="12"/>
        <v>#DIV/0!</v>
      </c>
      <c r="J67" s="26"/>
      <c r="K67" s="26"/>
      <c r="L67" s="26"/>
    </row>
    <row r="68" spans="2:15" x14ac:dyDescent="0.25">
      <c r="B68" s="24">
        <v>6</v>
      </c>
      <c r="C68" s="12"/>
      <c r="D68" s="38"/>
      <c r="E68" s="15"/>
      <c r="F68" s="12"/>
      <c r="G68" s="20">
        <f t="shared" si="11"/>
        <v>0</v>
      </c>
      <c r="H68" s="12"/>
      <c r="I68" s="42" t="e">
        <f t="shared" si="12"/>
        <v>#DIV/0!</v>
      </c>
      <c r="J68" s="26"/>
      <c r="K68" s="26"/>
      <c r="L68" s="26"/>
    </row>
    <row r="69" spans="2:15" ht="15.75" thickBot="1" x14ac:dyDescent="0.3">
      <c r="B69" s="48">
        <v>7</v>
      </c>
      <c r="C69" s="13"/>
      <c r="D69" s="39"/>
      <c r="E69" s="19"/>
      <c r="F69" s="18"/>
      <c r="G69" s="20">
        <f t="shared" si="11"/>
        <v>0</v>
      </c>
      <c r="H69" s="18"/>
      <c r="I69" s="42" t="e">
        <f t="shared" si="12"/>
        <v>#DIV/0!</v>
      </c>
      <c r="J69" s="27"/>
      <c r="K69" s="27"/>
      <c r="L69" s="27"/>
    </row>
    <row r="70" spans="2:15" ht="15.75" thickBot="1" x14ac:dyDescent="0.3">
      <c r="C70" s="14" t="s">
        <v>8</v>
      </c>
      <c r="D70" s="6">
        <f>SUM(D63:D69)</f>
        <v>28</v>
      </c>
      <c r="E70" s="7">
        <f>SUM(E63:E69)</f>
        <v>287</v>
      </c>
      <c r="F70" s="7">
        <f>SUM(F63:F69)</f>
        <v>0</v>
      </c>
      <c r="G70" s="20">
        <f t="shared" si="11"/>
        <v>259</v>
      </c>
      <c r="H70" s="7"/>
      <c r="I70" s="42">
        <f t="shared" si="12"/>
        <v>9.25</v>
      </c>
      <c r="J70" s="35"/>
      <c r="K70" s="33" t="s">
        <v>19</v>
      </c>
      <c r="L70" s="34"/>
    </row>
  </sheetData>
  <mergeCells count="22">
    <mergeCell ref="G6:H6"/>
    <mergeCell ref="I6:J6"/>
    <mergeCell ref="K2:M2"/>
    <mergeCell ref="C3:G3"/>
    <mergeCell ref="K3:M3"/>
    <mergeCell ref="K4:M4"/>
    <mergeCell ref="C5:D5"/>
    <mergeCell ref="C60:D60"/>
    <mergeCell ref="G61:H61"/>
    <mergeCell ref="I61:J61"/>
    <mergeCell ref="C20:D20"/>
    <mergeCell ref="G21:H21"/>
    <mergeCell ref="I21:J21"/>
    <mergeCell ref="C33:D33"/>
    <mergeCell ref="G34:H34"/>
    <mergeCell ref="I34:J34"/>
    <mergeCell ref="K17:M17"/>
    <mergeCell ref="K18:M18"/>
    <mergeCell ref="K19:M19"/>
    <mergeCell ref="C46:D46"/>
    <mergeCell ref="G47:H47"/>
    <mergeCell ref="I47:J47"/>
  </mergeCells>
  <conditionalFormatting sqref="K8:K13">
    <cfRule type="containsText" dxfId="34" priority="7" operator="containsText" text="Green">
      <formula>NOT(ISERROR(SEARCH("Green",K8)))</formula>
    </cfRule>
  </conditionalFormatting>
  <conditionalFormatting sqref="K20:K1048576 K1:K15">
    <cfRule type="containsText" dxfId="33" priority="4" operator="containsText" text="Amber">
      <formula>NOT(ISERROR(SEARCH("Amber",K1)))</formula>
    </cfRule>
    <cfRule type="containsText" dxfId="32" priority="5" operator="containsText" text="Red">
      <formula>NOT(ISERROR(SEARCH("Red",K1)))</formula>
    </cfRule>
    <cfRule type="containsText" dxfId="31" priority="6" operator="containsText" text="Green">
      <formula>NOT(ISERROR(SEARCH("Green",K1)))</formula>
    </cfRule>
  </conditionalFormatting>
  <conditionalFormatting sqref="K16:K19">
    <cfRule type="containsText" dxfId="30" priority="1" operator="containsText" text="Amber">
      <formula>NOT(ISERROR(SEARCH("Amber",K16)))</formula>
    </cfRule>
    <cfRule type="containsText" dxfId="29" priority="2" operator="containsText" text="Red">
      <formula>NOT(ISERROR(SEARCH("Red",K16)))</formula>
    </cfRule>
    <cfRule type="containsText" dxfId="28" priority="3" operator="containsText" text="Green">
      <formula>NOT(ISERROR(SEARCH("Green",K16)))</formula>
    </cfRule>
  </conditionalFormatting>
  <pageMargins left="0.7" right="0.7" top="0.75" bottom="0.75" header="0.3" footer="0.3"/>
  <pageSetup orientation="portrait" r:id="rId7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71"/>
  <sheetViews>
    <sheetView topLeftCell="O7" zoomScale="142" zoomScaleNormal="142" workbookViewId="0">
      <selection activeCell="H66" sqref="H66"/>
    </sheetView>
  </sheetViews>
  <sheetFormatPr defaultRowHeight="15" x14ac:dyDescent="0.25"/>
  <cols>
    <col min="2" max="2" width="7" customWidth="1"/>
    <col min="3" max="3" width="22" customWidth="1"/>
    <col min="4" max="4" width="16.5703125" bestFit="1" customWidth="1"/>
    <col min="5" max="5" width="15.7109375" bestFit="1" customWidth="1"/>
    <col min="6" max="6" width="14.85546875" bestFit="1" customWidth="1"/>
    <col min="7" max="7" width="8.42578125" customWidth="1"/>
    <col min="8" max="8" width="9.7109375" customWidth="1"/>
    <col min="9" max="9" width="8.5703125" customWidth="1"/>
    <col min="10" max="10" width="8.85546875" customWidth="1"/>
    <col min="11" max="11" width="13.140625" customWidth="1"/>
    <col min="12" max="12" width="14" customWidth="1"/>
    <col min="13" max="13" width="12.5703125" customWidth="1"/>
    <col min="14" max="14" width="13.7109375" customWidth="1"/>
    <col min="15" max="15" width="16" customWidth="1"/>
    <col min="16" max="16" width="13.7109375" customWidth="1"/>
    <col min="17" max="17" width="16" customWidth="1"/>
    <col min="18" max="18" width="13.140625" customWidth="1"/>
    <col min="19" max="19" width="15.42578125" bestFit="1" customWidth="1"/>
    <col min="20" max="20" width="18" customWidth="1"/>
    <col min="21" max="21" width="18.5703125" customWidth="1"/>
    <col min="22" max="22" width="22.7109375" customWidth="1"/>
    <col min="23" max="23" width="22.140625" customWidth="1"/>
    <col min="24" max="24" width="15" customWidth="1"/>
    <col min="25" max="25" width="12.7109375" customWidth="1"/>
    <col min="26" max="26" width="26" customWidth="1"/>
    <col min="27" max="27" width="12.7109375" customWidth="1"/>
    <col min="28" max="28" width="6.42578125" customWidth="1"/>
    <col min="29" max="29" width="24.140625" customWidth="1"/>
    <col min="30" max="30" width="40" bestFit="1" customWidth="1"/>
    <col min="31" max="31" width="24.42578125" customWidth="1"/>
    <col min="32" max="32" width="40" bestFit="1" customWidth="1"/>
    <col min="33" max="33" width="20.7109375" customWidth="1"/>
    <col min="34" max="34" width="20.42578125" customWidth="1"/>
    <col min="35" max="35" width="12" customWidth="1"/>
    <col min="36" max="36" width="12" bestFit="1" customWidth="1"/>
  </cols>
  <sheetData>
    <row r="2" spans="2:36" ht="15.75" thickBot="1" x14ac:dyDescent="0.3">
      <c r="J2" s="72" t="s">
        <v>19</v>
      </c>
      <c r="K2" s="145" t="s">
        <v>64</v>
      </c>
      <c r="L2" s="145"/>
      <c r="M2" s="145"/>
    </row>
    <row r="3" spans="2:36" ht="15.75" thickBot="1" x14ac:dyDescent="0.3">
      <c r="C3" s="142" t="s">
        <v>3</v>
      </c>
      <c r="D3" s="144"/>
      <c r="E3" s="144"/>
      <c r="F3" s="144"/>
      <c r="G3" s="143"/>
      <c r="H3" s="21"/>
      <c r="I3" s="21"/>
      <c r="J3" s="73" t="s">
        <v>54</v>
      </c>
      <c r="K3" s="145" t="s">
        <v>65</v>
      </c>
      <c r="L3" s="145"/>
      <c r="M3" s="145"/>
      <c r="O3" s="59"/>
    </row>
    <row r="4" spans="2:36" s="4" customFormat="1" ht="15.75" thickBot="1" x14ac:dyDescent="0.3">
      <c r="C4" s="3"/>
      <c r="D4" s="3"/>
      <c r="E4" s="3"/>
      <c r="F4" s="3"/>
      <c r="G4" s="3"/>
      <c r="H4" s="3"/>
      <c r="I4" s="3"/>
      <c r="J4" s="74" t="s">
        <v>18</v>
      </c>
      <c r="K4" s="146" t="s">
        <v>62</v>
      </c>
      <c r="L4" s="146"/>
      <c r="M4" s="146"/>
      <c r="O4" s="59"/>
    </row>
    <row r="5" spans="2:36" ht="15.75" thickBot="1" x14ac:dyDescent="0.3">
      <c r="C5" s="142" t="s">
        <v>4</v>
      </c>
      <c r="D5" s="143"/>
      <c r="O5" s="59"/>
    </row>
    <row r="6" spans="2:36" s="5" customFormat="1" ht="15.75" thickBot="1" x14ac:dyDescent="0.3">
      <c r="G6" s="140" t="s">
        <v>2</v>
      </c>
      <c r="H6" s="141"/>
      <c r="I6" s="140" t="s">
        <v>13</v>
      </c>
      <c r="J6" s="141"/>
      <c r="M6"/>
      <c r="N6" s="57"/>
      <c r="O6"/>
      <c r="P6"/>
      <c r="Q6"/>
      <c r="R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2:36" ht="15.75" thickBot="1" x14ac:dyDescent="0.3">
      <c r="B7" s="36" t="s">
        <v>7</v>
      </c>
      <c r="C7" s="85" t="s">
        <v>5</v>
      </c>
      <c r="D7" s="86" t="s">
        <v>0</v>
      </c>
      <c r="E7" s="9" t="s">
        <v>6</v>
      </c>
      <c r="F7" s="22" t="s">
        <v>1</v>
      </c>
      <c r="G7" s="85" t="s">
        <v>17</v>
      </c>
      <c r="H7" s="85" t="s">
        <v>16</v>
      </c>
      <c r="I7" s="85" t="s">
        <v>17</v>
      </c>
      <c r="J7" s="85" t="s">
        <v>16</v>
      </c>
      <c r="K7" s="85" t="s">
        <v>14</v>
      </c>
      <c r="L7" s="85" t="s">
        <v>15</v>
      </c>
      <c r="N7" s="57"/>
      <c r="O7" s="94" t="s">
        <v>70</v>
      </c>
      <c r="P7" s="95" t="s">
        <v>5</v>
      </c>
      <c r="Q7" s="95" t="s">
        <v>72</v>
      </c>
      <c r="R7" s="4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</row>
    <row r="8" spans="2:36" ht="30" x14ac:dyDescent="0.25">
      <c r="B8" s="98">
        <v>1</v>
      </c>
      <c r="C8" s="105" t="s">
        <v>20</v>
      </c>
      <c r="D8" s="106">
        <v>7</v>
      </c>
      <c r="E8" s="107">
        <v>53</v>
      </c>
      <c r="F8" s="108"/>
      <c r="G8" s="109">
        <f>E8-D8</f>
        <v>46</v>
      </c>
      <c r="H8" s="109"/>
      <c r="I8" s="110">
        <f>G8/D8</f>
        <v>6.5714285714285712</v>
      </c>
      <c r="J8" s="105"/>
      <c r="K8" s="105" t="s">
        <v>19</v>
      </c>
      <c r="L8" s="105" t="s">
        <v>60</v>
      </c>
      <c r="N8" s="57"/>
      <c r="O8" s="87" t="s">
        <v>71</v>
      </c>
      <c r="P8" s="88" t="s">
        <v>21</v>
      </c>
      <c r="Q8" s="89">
        <f>$I$9</f>
        <v>2.1</v>
      </c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</row>
    <row r="9" spans="2:36" ht="48" customHeight="1" x14ac:dyDescent="0.25">
      <c r="B9" s="12">
        <v>2</v>
      </c>
      <c r="C9" s="50" t="s">
        <v>21</v>
      </c>
      <c r="D9" s="38">
        <v>10</v>
      </c>
      <c r="E9" s="15">
        <v>31</v>
      </c>
      <c r="F9" s="24"/>
      <c r="G9" s="12">
        <f t="shared" ref="G9:G15" si="0">E9-D9</f>
        <v>21</v>
      </c>
      <c r="H9" s="12"/>
      <c r="I9" s="42">
        <f t="shared" ref="I9:I12" si="1">G9/D9</f>
        <v>2.1</v>
      </c>
      <c r="J9" s="26"/>
      <c r="K9" s="26" t="s">
        <v>19</v>
      </c>
      <c r="L9" s="26"/>
      <c r="M9" s="4"/>
      <c r="O9" s="87" t="s">
        <v>73</v>
      </c>
      <c r="P9" s="92" t="s">
        <v>22</v>
      </c>
      <c r="Q9" s="93">
        <f>$I$24</f>
        <v>-0.43333333333333335</v>
      </c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</row>
    <row r="10" spans="2:36" ht="30" x14ac:dyDescent="0.25">
      <c r="B10" s="98">
        <v>3</v>
      </c>
      <c r="C10" s="99" t="s">
        <v>28</v>
      </c>
      <c r="D10" s="100">
        <v>24</v>
      </c>
      <c r="E10" s="101">
        <v>49</v>
      </c>
      <c r="F10" s="102"/>
      <c r="G10" s="98">
        <f t="shared" si="0"/>
        <v>25</v>
      </c>
      <c r="H10" s="98"/>
      <c r="I10" s="103">
        <f t="shared" si="1"/>
        <v>1.0416666666666667</v>
      </c>
      <c r="J10" s="104"/>
      <c r="K10" s="104" t="s">
        <v>19</v>
      </c>
      <c r="L10" s="105" t="s">
        <v>60</v>
      </c>
      <c r="O10" s="87" t="s">
        <v>73</v>
      </c>
      <c r="P10" s="88" t="s">
        <v>29</v>
      </c>
      <c r="Q10" s="93">
        <f>$I$25</f>
        <v>1.4761904761904763</v>
      </c>
      <c r="R10" s="59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</row>
    <row r="11" spans="2:36" ht="45" x14ac:dyDescent="0.25">
      <c r="B11" s="12">
        <v>4</v>
      </c>
      <c r="C11" s="12"/>
      <c r="D11" s="38"/>
      <c r="E11" s="15"/>
      <c r="F11" s="24"/>
      <c r="G11" s="12">
        <f t="shared" si="0"/>
        <v>0</v>
      </c>
      <c r="H11" s="12"/>
      <c r="I11" s="42" t="e">
        <f t="shared" si="1"/>
        <v>#DIV/0!</v>
      </c>
      <c r="J11" s="26"/>
      <c r="K11" s="26"/>
      <c r="L11" s="26"/>
      <c r="O11" s="87" t="s">
        <v>73</v>
      </c>
      <c r="P11" s="88" t="s">
        <v>74</v>
      </c>
      <c r="Q11" s="93">
        <f>$I$26</f>
        <v>0</v>
      </c>
      <c r="R11" s="59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</row>
    <row r="12" spans="2:36" ht="15.75" thickBot="1" x14ac:dyDescent="0.3">
      <c r="B12" s="13">
        <v>5</v>
      </c>
      <c r="C12" s="13"/>
      <c r="D12" s="39"/>
      <c r="E12" s="19"/>
      <c r="F12" s="25"/>
      <c r="G12" s="18">
        <f t="shared" si="0"/>
        <v>0</v>
      </c>
      <c r="H12" s="18"/>
      <c r="I12" s="54" t="e">
        <f t="shared" si="1"/>
        <v>#DIV/0!</v>
      </c>
      <c r="J12" s="31"/>
      <c r="K12" s="31"/>
      <c r="L12" s="27"/>
      <c r="O12" s="87" t="s">
        <v>73</v>
      </c>
      <c r="P12" s="88" t="s">
        <v>40</v>
      </c>
      <c r="Q12" s="93">
        <f>I28</f>
        <v>-3.6363636363636362E-2</v>
      </c>
      <c r="R12" s="59"/>
    </row>
    <row r="13" spans="2:36" ht="15.75" thickBot="1" x14ac:dyDescent="0.3">
      <c r="B13" s="56"/>
      <c r="C13" s="112"/>
      <c r="D13" s="56"/>
      <c r="E13" s="56"/>
      <c r="F13" s="113"/>
      <c r="G13" s="53"/>
      <c r="H13" s="53"/>
      <c r="I13" s="114"/>
      <c r="J13" s="115"/>
      <c r="K13" s="115"/>
      <c r="L13" s="116"/>
      <c r="O13" s="87" t="s">
        <v>73</v>
      </c>
      <c r="P13" s="88" t="s">
        <v>86</v>
      </c>
      <c r="Q13" s="93">
        <f>I29</f>
        <v>0</v>
      </c>
      <c r="R13" s="59"/>
    </row>
    <row r="14" spans="2:36" ht="45.75" thickBot="1" x14ac:dyDescent="0.3">
      <c r="B14" s="56"/>
      <c r="C14" s="112"/>
      <c r="D14" s="56"/>
      <c r="E14" s="56"/>
      <c r="F14" s="113"/>
      <c r="G14" s="53"/>
      <c r="H14" s="53"/>
      <c r="I14" s="114"/>
      <c r="J14" s="115"/>
      <c r="K14" s="115"/>
      <c r="L14" s="116"/>
      <c r="O14" s="87" t="s">
        <v>75</v>
      </c>
      <c r="P14" s="88" t="s">
        <v>74</v>
      </c>
      <c r="Q14" s="87">
        <f>$I$37</f>
        <v>0.44</v>
      </c>
      <c r="R14" s="59"/>
    </row>
    <row r="15" spans="2:36" ht="30.75" thickBot="1" x14ac:dyDescent="0.3">
      <c r="C15" s="14" t="s">
        <v>8</v>
      </c>
      <c r="D15" s="6">
        <f>SUM(D8:D12)</f>
        <v>41</v>
      </c>
      <c r="E15" s="7">
        <f>SUM(E8:E12)</f>
        <v>133</v>
      </c>
      <c r="F15" s="6">
        <f>SUM(F8:F12)</f>
        <v>0</v>
      </c>
      <c r="G15" s="7">
        <f t="shared" si="0"/>
        <v>92</v>
      </c>
      <c r="H15" s="7"/>
      <c r="I15" s="55">
        <f>G15/D15</f>
        <v>2.2439024390243905</v>
      </c>
      <c r="J15" s="32"/>
      <c r="K15" s="32" t="s">
        <v>19</v>
      </c>
      <c r="L15" s="32"/>
      <c r="O15" s="87" t="s">
        <v>77</v>
      </c>
      <c r="P15" s="88" t="s">
        <v>23</v>
      </c>
      <c r="Q15" s="89">
        <f>I50</f>
        <v>3.5</v>
      </c>
      <c r="R15" s="59"/>
    </row>
    <row r="16" spans="2:36" x14ac:dyDescent="0.25">
      <c r="C16" s="81"/>
      <c r="D16" s="56"/>
      <c r="E16" s="56"/>
      <c r="F16" s="56"/>
      <c r="G16" s="56"/>
      <c r="H16" s="56"/>
      <c r="I16" s="82"/>
      <c r="J16" s="83"/>
      <c r="K16" s="83"/>
      <c r="L16" s="83"/>
      <c r="O16" s="87" t="s">
        <v>77</v>
      </c>
      <c r="P16" s="88" t="s">
        <v>87</v>
      </c>
      <c r="Q16" s="89">
        <f>I51</f>
        <v>1.0638297872340425</v>
      </c>
      <c r="R16" s="59"/>
    </row>
    <row r="17" spans="2:17" ht="45" x14ac:dyDescent="0.25">
      <c r="C17" s="81"/>
      <c r="D17" s="56"/>
      <c r="E17" s="56"/>
      <c r="F17" s="56"/>
      <c r="G17" s="56"/>
      <c r="H17" s="56"/>
      <c r="O17" s="87" t="s">
        <v>77</v>
      </c>
      <c r="P17" s="88" t="s">
        <v>88</v>
      </c>
      <c r="Q17" s="89">
        <f>I52</f>
        <v>0</v>
      </c>
    </row>
    <row r="18" spans="2:17" x14ac:dyDescent="0.25">
      <c r="C18" s="81"/>
      <c r="D18" s="56"/>
      <c r="E18" s="56"/>
      <c r="F18" s="56"/>
      <c r="G18" s="56"/>
      <c r="H18" s="56"/>
      <c r="J18" s="72" t="s">
        <v>19</v>
      </c>
      <c r="K18" s="145" t="s">
        <v>67</v>
      </c>
      <c r="L18" s="145"/>
      <c r="M18" s="145"/>
      <c r="O18" s="117" t="s">
        <v>77</v>
      </c>
      <c r="P18" s="118" t="s">
        <v>40</v>
      </c>
      <c r="Q18" s="89">
        <f>$I$53</f>
        <v>-0.4</v>
      </c>
    </row>
    <row r="19" spans="2:17" x14ac:dyDescent="0.25">
      <c r="I19" s="21"/>
      <c r="J19" s="73" t="s">
        <v>54</v>
      </c>
      <c r="K19" s="145" t="s">
        <v>66</v>
      </c>
      <c r="L19" s="145"/>
      <c r="M19" s="145"/>
      <c r="O19" s="117" t="s">
        <v>77</v>
      </c>
      <c r="P19" s="118" t="s">
        <v>86</v>
      </c>
      <c r="Q19" s="89">
        <f>$I$54</f>
        <v>-1</v>
      </c>
    </row>
    <row r="20" spans="2:17" ht="15.75" thickBot="1" x14ac:dyDescent="0.3">
      <c r="I20" s="3"/>
      <c r="J20" s="74" t="s">
        <v>18</v>
      </c>
      <c r="K20" s="146" t="s">
        <v>62</v>
      </c>
      <c r="L20" s="146"/>
      <c r="M20" s="146"/>
      <c r="O20" s="87" t="s">
        <v>76</v>
      </c>
      <c r="P20" s="88" t="s">
        <v>89</v>
      </c>
      <c r="Q20" s="89">
        <f>I64</f>
        <v>9.1</v>
      </c>
    </row>
    <row r="21" spans="2:17" ht="30.75" thickBot="1" x14ac:dyDescent="0.3">
      <c r="C21" s="142" t="s">
        <v>9</v>
      </c>
      <c r="D21" s="143"/>
      <c r="O21" s="87" t="s">
        <v>76</v>
      </c>
      <c r="P21" s="88" t="s">
        <v>25</v>
      </c>
      <c r="Q21" s="89">
        <f>I65</f>
        <v>16</v>
      </c>
    </row>
    <row r="22" spans="2:17" ht="15.75" thickBot="1" x14ac:dyDescent="0.3">
      <c r="B22" s="5"/>
      <c r="C22" s="5"/>
      <c r="D22" s="5"/>
      <c r="E22" s="5"/>
      <c r="F22" s="5"/>
      <c r="G22" s="140" t="s">
        <v>2</v>
      </c>
      <c r="H22" s="141"/>
      <c r="I22" s="140" t="s">
        <v>13</v>
      </c>
      <c r="J22" s="141"/>
      <c r="O22" s="87" t="s">
        <v>76</v>
      </c>
      <c r="P22" s="92" t="s">
        <v>37</v>
      </c>
      <c r="Q22" s="89">
        <f>I66</f>
        <v>2.25</v>
      </c>
    </row>
    <row r="23" spans="2:17" ht="15.75" thickBot="1" x14ac:dyDescent="0.3">
      <c r="B23" s="22" t="s">
        <v>7</v>
      </c>
      <c r="C23" s="85" t="s">
        <v>5</v>
      </c>
      <c r="D23" s="86" t="s">
        <v>0</v>
      </c>
      <c r="E23" s="9" t="s">
        <v>6</v>
      </c>
      <c r="F23" s="85" t="s">
        <v>1</v>
      </c>
      <c r="G23" s="85" t="s">
        <v>17</v>
      </c>
      <c r="H23" s="85" t="s">
        <v>16</v>
      </c>
      <c r="I23" s="85" t="s">
        <v>17</v>
      </c>
      <c r="J23" s="85" t="s">
        <v>16</v>
      </c>
      <c r="K23" s="22" t="s">
        <v>14</v>
      </c>
      <c r="L23" s="85" t="s">
        <v>15</v>
      </c>
    </row>
    <row r="24" spans="2:17" x14ac:dyDescent="0.25">
      <c r="B24" s="62">
        <v>1</v>
      </c>
      <c r="C24" s="63" t="s">
        <v>22</v>
      </c>
      <c r="D24" s="16">
        <v>60</v>
      </c>
      <c r="E24" s="20">
        <v>34</v>
      </c>
      <c r="F24" s="1"/>
      <c r="G24" s="30">
        <f>E24-D24</f>
        <v>-26</v>
      </c>
      <c r="H24" s="30"/>
      <c r="I24" s="64">
        <f>G24/D24</f>
        <v>-0.43333333333333335</v>
      </c>
      <c r="J24" s="1"/>
      <c r="K24" s="23" t="s">
        <v>18</v>
      </c>
      <c r="L24" s="75"/>
    </row>
    <row r="25" spans="2:17" ht="225" x14ac:dyDescent="0.25">
      <c r="B25" s="24">
        <v>2</v>
      </c>
      <c r="C25" s="50" t="s">
        <v>29</v>
      </c>
      <c r="D25" s="38">
        <v>21</v>
      </c>
      <c r="E25" s="15">
        <v>52</v>
      </c>
      <c r="F25" s="12"/>
      <c r="G25" s="30">
        <f t="shared" ref="G25:G31" si="2">E25-D25</f>
        <v>31</v>
      </c>
      <c r="H25" s="12"/>
      <c r="I25" s="41">
        <f t="shared" ref="I25:I31" si="3">G25/D25</f>
        <v>1.4761904761904763</v>
      </c>
      <c r="J25" s="26"/>
      <c r="K25" s="76" t="s">
        <v>19</v>
      </c>
      <c r="L25" s="46" t="s">
        <v>84</v>
      </c>
    </row>
    <row r="26" spans="2:17" ht="75" x14ac:dyDescent="0.25">
      <c r="B26" s="24">
        <v>3</v>
      </c>
      <c r="C26" s="40" t="s">
        <v>30</v>
      </c>
      <c r="D26" s="38">
        <v>11</v>
      </c>
      <c r="E26" s="15">
        <v>11</v>
      </c>
      <c r="F26" s="12"/>
      <c r="G26" s="30">
        <f t="shared" si="2"/>
        <v>0</v>
      </c>
      <c r="H26" s="12"/>
      <c r="I26" s="41">
        <f t="shared" si="3"/>
        <v>0</v>
      </c>
      <c r="J26" s="26"/>
      <c r="K26" s="76" t="s">
        <v>18</v>
      </c>
      <c r="L26" s="40" t="s">
        <v>52</v>
      </c>
    </row>
    <row r="27" spans="2:17" ht="60" x14ac:dyDescent="0.25">
      <c r="B27" s="24">
        <v>4</v>
      </c>
      <c r="C27" s="40" t="s">
        <v>31</v>
      </c>
      <c r="D27" s="38"/>
      <c r="E27" s="15"/>
      <c r="F27" s="12"/>
      <c r="G27" s="30">
        <f t="shared" si="2"/>
        <v>0</v>
      </c>
      <c r="H27" s="12"/>
      <c r="I27" s="41" t="e">
        <f t="shared" si="3"/>
        <v>#DIV/0!</v>
      </c>
      <c r="J27" s="26"/>
      <c r="K27" s="76"/>
      <c r="L27" s="46" t="s">
        <v>32</v>
      </c>
    </row>
    <row r="28" spans="2:17" ht="120" x14ac:dyDescent="0.25">
      <c r="B28" s="24">
        <v>5</v>
      </c>
      <c r="C28" s="40" t="s">
        <v>40</v>
      </c>
      <c r="D28" s="38">
        <v>55</v>
      </c>
      <c r="E28" s="15">
        <v>53</v>
      </c>
      <c r="F28" s="12"/>
      <c r="G28" s="30">
        <f t="shared" si="2"/>
        <v>-2</v>
      </c>
      <c r="H28" s="12"/>
      <c r="I28" s="41">
        <f t="shared" si="3"/>
        <v>-3.6363636363636362E-2</v>
      </c>
      <c r="J28" s="26"/>
      <c r="K28" s="76" t="s">
        <v>18</v>
      </c>
      <c r="L28" s="97" t="s">
        <v>80</v>
      </c>
    </row>
    <row r="29" spans="2:17" ht="90" x14ac:dyDescent="0.25">
      <c r="B29" s="24">
        <v>6</v>
      </c>
      <c r="C29" s="40" t="s">
        <v>41</v>
      </c>
      <c r="D29" s="38">
        <v>45</v>
      </c>
      <c r="E29" s="15">
        <v>45</v>
      </c>
      <c r="F29" s="12"/>
      <c r="G29" s="30">
        <f t="shared" si="2"/>
        <v>0</v>
      </c>
      <c r="H29" s="12"/>
      <c r="I29" s="41">
        <f t="shared" si="3"/>
        <v>0</v>
      </c>
      <c r="J29" s="26"/>
      <c r="K29" s="76" t="s">
        <v>18</v>
      </c>
      <c r="L29" s="97" t="s">
        <v>81</v>
      </c>
    </row>
    <row r="30" spans="2:17" ht="15.75" thickBot="1" x14ac:dyDescent="0.3">
      <c r="B30" s="48">
        <v>7</v>
      </c>
      <c r="C30" s="13"/>
      <c r="D30" s="39"/>
      <c r="E30" s="19"/>
      <c r="F30" s="18"/>
      <c r="G30" s="53">
        <f t="shared" si="2"/>
        <v>0</v>
      </c>
      <c r="H30" s="18"/>
      <c r="I30" s="51" t="e">
        <f t="shared" si="3"/>
        <v>#DIV/0!</v>
      </c>
      <c r="J30" s="31"/>
      <c r="K30" s="77"/>
      <c r="L30" s="96"/>
    </row>
    <row r="31" spans="2:17" ht="15.75" thickBot="1" x14ac:dyDescent="0.3">
      <c r="C31" s="49" t="s">
        <v>8</v>
      </c>
      <c r="D31" s="6">
        <f>SUM(D24:D30)</f>
        <v>192</v>
      </c>
      <c r="E31" s="7">
        <f>SUM(E24:E30)</f>
        <v>195</v>
      </c>
      <c r="F31" s="7">
        <f>SUM(F24:F30)</f>
        <v>0</v>
      </c>
      <c r="G31" s="7">
        <f t="shared" si="2"/>
        <v>3</v>
      </c>
      <c r="H31" s="7"/>
      <c r="I31" s="52">
        <f t="shared" si="3"/>
        <v>1.5625E-2</v>
      </c>
      <c r="J31" s="32"/>
      <c r="K31" s="32" t="s">
        <v>18</v>
      </c>
      <c r="L31" s="32"/>
    </row>
    <row r="33" spans="2:15" ht="15.75" thickBot="1" x14ac:dyDescent="0.3"/>
    <row r="34" spans="2:15" ht="15.75" thickBot="1" x14ac:dyDescent="0.3">
      <c r="C34" s="142" t="s">
        <v>10</v>
      </c>
      <c r="D34" s="143"/>
    </row>
    <row r="35" spans="2:15" ht="15.75" thickBot="1" x14ac:dyDescent="0.3">
      <c r="B35" s="5"/>
      <c r="C35" s="5"/>
      <c r="D35" s="5"/>
      <c r="E35" s="5"/>
      <c r="F35" s="5"/>
      <c r="G35" s="140" t="s">
        <v>2</v>
      </c>
      <c r="H35" s="141"/>
      <c r="I35" s="140" t="s">
        <v>13</v>
      </c>
      <c r="J35" s="141"/>
    </row>
    <row r="36" spans="2:15" ht="15.75" thickBot="1" x14ac:dyDescent="0.3">
      <c r="B36" s="85" t="s">
        <v>7</v>
      </c>
      <c r="C36" s="9" t="s">
        <v>5</v>
      </c>
      <c r="D36" s="85" t="s">
        <v>0</v>
      </c>
      <c r="E36" s="9" t="s">
        <v>6</v>
      </c>
      <c r="F36" s="85" t="s">
        <v>1</v>
      </c>
      <c r="G36" s="22" t="s">
        <v>17</v>
      </c>
      <c r="H36" s="85" t="s">
        <v>16</v>
      </c>
      <c r="I36" s="85" t="s">
        <v>17</v>
      </c>
      <c r="J36" s="85" t="s">
        <v>16</v>
      </c>
      <c r="K36" s="85" t="s">
        <v>14</v>
      </c>
      <c r="L36" s="85" t="s">
        <v>15</v>
      </c>
      <c r="N36" s="59"/>
      <c r="O36" s="57"/>
    </row>
    <row r="37" spans="2:15" ht="45" x14ac:dyDescent="0.25">
      <c r="B37" s="11">
        <v>1</v>
      </c>
      <c r="C37" s="37" t="s">
        <v>33</v>
      </c>
      <c r="D37" s="1">
        <v>25</v>
      </c>
      <c r="E37" s="2">
        <v>36</v>
      </c>
      <c r="F37" s="1"/>
      <c r="G37" s="20">
        <f>E37-D37</f>
        <v>11</v>
      </c>
      <c r="H37" s="30"/>
      <c r="I37" s="30">
        <f>G37/D37</f>
        <v>0.44</v>
      </c>
      <c r="J37" s="1"/>
      <c r="K37" s="1" t="s">
        <v>26</v>
      </c>
      <c r="L37" s="78" t="s">
        <v>58</v>
      </c>
      <c r="N37" s="59"/>
      <c r="O37" s="57"/>
    </row>
    <row r="38" spans="2:15" x14ac:dyDescent="0.25">
      <c r="B38" s="12">
        <v>2</v>
      </c>
      <c r="C38" s="15"/>
      <c r="D38" s="12"/>
      <c r="E38" s="15"/>
      <c r="F38" s="12"/>
      <c r="G38" s="20">
        <f t="shared" ref="G38:G44" si="4">E38-D38</f>
        <v>0</v>
      </c>
      <c r="H38" s="12"/>
      <c r="I38" s="12" t="e">
        <f t="shared" ref="I38:I44" si="5">G38/D38</f>
        <v>#DIV/0!</v>
      </c>
      <c r="J38" s="26"/>
      <c r="K38" s="26"/>
      <c r="L38" s="26"/>
      <c r="N38" s="59"/>
      <c r="O38" s="57"/>
    </row>
    <row r="39" spans="2:15" x14ac:dyDescent="0.25">
      <c r="B39" s="12">
        <v>3</v>
      </c>
      <c r="C39" s="15"/>
      <c r="D39" s="12"/>
      <c r="E39" s="15"/>
      <c r="F39" s="12"/>
      <c r="G39" s="20">
        <f t="shared" si="4"/>
        <v>0</v>
      </c>
      <c r="H39" s="12"/>
      <c r="I39" s="12" t="e">
        <f t="shared" si="5"/>
        <v>#DIV/0!</v>
      </c>
      <c r="J39" s="26"/>
      <c r="K39" s="26"/>
      <c r="L39" s="26"/>
    </row>
    <row r="40" spans="2:15" x14ac:dyDescent="0.25">
      <c r="B40" s="12">
        <v>4</v>
      </c>
      <c r="C40" s="15"/>
      <c r="D40" s="12"/>
      <c r="E40" s="15"/>
      <c r="F40" s="12"/>
      <c r="G40" s="20">
        <f t="shared" si="4"/>
        <v>0</v>
      </c>
      <c r="H40" s="12"/>
      <c r="I40" s="12" t="e">
        <f t="shared" si="5"/>
        <v>#DIV/0!</v>
      </c>
      <c r="J40" s="26"/>
      <c r="K40" s="26"/>
      <c r="L40" s="26"/>
    </row>
    <row r="41" spans="2:15" x14ac:dyDescent="0.25">
      <c r="B41" s="12">
        <v>5</v>
      </c>
      <c r="C41" s="15"/>
      <c r="D41" s="12"/>
      <c r="E41" s="15"/>
      <c r="F41" s="12"/>
      <c r="G41" s="20">
        <f t="shared" si="4"/>
        <v>0</v>
      </c>
      <c r="H41" s="12"/>
      <c r="I41" s="12" t="e">
        <f t="shared" si="5"/>
        <v>#DIV/0!</v>
      </c>
      <c r="J41" s="26"/>
      <c r="K41" s="26"/>
      <c r="L41" s="26"/>
    </row>
    <row r="42" spans="2:15" x14ac:dyDescent="0.25">
      <c r="B42" s="12">
        <v>6</v>
      </c>
      <c r="C42" s="15"/>
      <c r="D42" s="12"/>
      <c r="E42" s="15"/>
      <c r="F42" s="12"/>
      <c r="G42" s="20">
        <f t="shared" si="4"/>
        <v>0</v>
      </c>
      <c r="H42" s="12"/>
      <c r="I42" s="12" t="e">
        <f t="shared" si="5"/>
        <v>#DIV/0!</v>
      </c>
      <c r="J42" s="26"/>
      <c r="K42" s="26"/>
      <c r="L42" s="26"/>
    </row>
    <row r="43" spans="2:15" ht="15.75" thickBot="1" x14ac:dyDescent="0.3">
      <c r="B43" s="13">
        <v>7</v>
      </c>
      <c r="C43" s="17"/>
      <c r="D43" s="18"/>
      <c r="E43" s="19"/>
      <c r="F43" s="18"/>
      <c r="G43" s="56">
        <f t="shared" si="4"/>
        <v>0</v>
      </c>
      <c r="H43" s="18"/>
      <c r="I43" s="18" t="e">
        <f t="shared" si="5"/>
        <v>#DIV/0!</v>
      </c>
      <c r="J43" s="31"/>
      <c r="K43" s="31"/>
      <c r="L43" s="27"/>
    </row>
    <row r="44" spans="2:15" ht="15.75" thickBot="1" x14ac:dyDescent="0.3">
      <c r="C44" s="14" t="s">
        <v>8</v>
      </c>
      <c r="D44" s="6">
        <f>SUM(D37:D43)</f>
        <v>25</v>
      </c>
      <c r="E44" s="7">
        <f>SUM(E37:E43)</f>
        <v>36</v>
      </c>
      <c r="F44" s="7">
        <f>SUM(F37:F43)</f>
        <v>0</v>
      </c>
      <c r="G44" s="7">
        <f t="shared" si="4"/>
        <v>11</v>
      </c>
      <c r="H44" s="7"/>
      <c r="I44" s="7">
        <f t="shared" si="5"/>
        <v>0.44</v>
      </c>
      <c r="J44" s="32"/>
      <c r="K44" s="32" t="s">
        <v>26</v>
      </c>
      <c r="L44" s="32"/>
    </row>
    <row r="46" spans="2:15" ht="15.75" thickBot="1" x14ac:dyDescent="0.3"/>
    <row r="47" spans="2:15" ht="15.75" thickBot="1" x14ac:dyDescent="0.3">
      <c r="C47" s="142" t="s">
        <v>11</v>
      </c>
      <c r="D47" s="143"/>
    </row>
    <row r="48" spans="2:15" ht="15.75" thickBot="1" x14ac:dyDescent="0.3">
      <c r="B48" s="5"/>
      <c r="C48" s="5"/>
      <c r="D48" s="5"/>
      <c r="E48" s="5"/>
      <c r="F48" s="5"/>
      <c r="G48" s="140" t="s">
        <v>2</v>
      </c>
      <c r="H48" s="141"/>
      <c r="I48" s="140" t="s">
        <v>13</v>
      </c>
      <c r="J48" s="141"/>
    </row>
    <row r="49" spans="2:15" ht="15.75" thickBot="1" x14ac:dyDescent="0.3">
      <c r="B49" s="22" t="s">
        <v>7</v>
      </c>
      <c r="C49" s="36" t="s">
        <v>5</v>
      </c>
      <c r="D49" s="86" t="s">
        <v>0</v>
      </c>
      <c r="E49" s="9" t="s">
        <v>6</v>
      </c>
      <c r="F49" s="85" t="s">
        <v>1</v>
      </c>
      <c r="G49" s="22" t="s">
        <v>17</v>
      </c>
      <c r="H49" s="85" t="s">
        <v>16</v>
      </c>
      <c r="I49" s="85" t="s">
        <v>17</v>
      </c>
      <c r="J49" s="85" t="s">
        <v>16</v>
      </c>
      <c r="K49" s="22" t="s">
        <v>14</v>
      </c>
      <c r="L49" s="36" t="s">
        <v>15</v>
      </c>
      <c r="N49" s="59"/>
      <c r="O49" s="57"/>
    </row>
    <row r="50" spans="2:15" x14ac:dyDescent="0.25">
      <c r="B50" s="47">
        <v>1</v>
      </c>
      <c r="C50" s="50" t="s">
        <v>23</v>
      </c>
      <c r="D50" s="16">
        <v>10</v>
      </c>
      <c r="E50" s="20">
        <v>45</v>
      </c>
      <c r="F50" s="1"/>
      <c r="G50" s="20">
        <f>E50-D50</f>
        <v>35</v>
      </c>
      <c r="H50" s="30"/>
      <c r="I50" s="66">
        <f>G50/D50</f>
        <v>3.5</v>
      </c>
      <c r="J50" s="1"/>
      <c r="K50" s="23" t="s">
        <v>19</v>
      </c>
      <c r="L50" s="26"/>
      <c r="N50" s="59"/>
      <c r="O50" s="57"/>
    </row>
    <row r="51" spans="2:15" ht="60" x14ac:dyDescent="0.25">
      <c r="B51" s="24">
        <v>2</v>
      </c>
      <c r="C51" s="50" t="s">
        <v>34</v>
      </c>
      <c r="D51" s="38">
        <v>47</v>
      </c>
      <c r="E51" s="15">
        <v>97</v>
      </c>
      <c r="F51" s="12"/>
      <c r="G51" s="20">
        <f t="shared" ref="G51:G57" si="6">E51-D51</f>
        <v>50</v>
      </c>
      <c r="H51" s="12"/>
      <c r="I51" s="42">
        <f t="shared" ref="I51:I57" si="7">G51/D51</f>
        <v>1.0638297872340425</v>
      </c>
      <c r="J51" s="26"/>
      <c r="K51" s="76" t="s">
        <v>19</v>
      </c>
      <c r="L51" s="84" t="s">
        <v>68</v>
      </c>
      <c r="N51" s="59"/>
      <c r="O51" s="57"/>
    </row>
    <row r="52" spans="2:15" ht="45" x14ac:dyDescent="0.25">
      <c r="B52" s="24">
        <v>3</v>
      </c>
      <c r="C52" s="40" t="s">
        <v>35</v>
      </c>
      <c r="D52" s="38">
        <v>28</v>
      </c>
      <c r="E52" s="15">
        <v>28</v>
      </c>
      <c r="F52" s="12"/>
      <c r="G52" s="20">
        <f t="shared" si="6"/>
        <v>0</v>
      </c>
      <c r="H52" s="12"/>
      <c r="I52" s="42">
        <f t="shared" si="7"/>
        <v>0</v>
      </c>
      <c r="J52" s="26"/>
      <c r="K52" s="76" t="s">
        <v>18</v>
      </c>
      <c r="L52" s="40" t="s">
        <v>58</v>
      </c>
      <c r="N52" s="59"/>
      <c r="O52" s="57"/>
    </row>
    <row r="53" spans="2:15" ht="92.25" x14ac:dyDescent="0.25">
      <c r="B53" s="24">
        <v>4</v>
      </c>
      <c r="C53" s="12" t="s">
        <v>82</v>
      </c>
      <c r="D53" s="38">
        <v>5</v>
      </c>
      <c r="E53" s="15">
        <v>3</v>
      </c>
      <c r="F53" s="12"/>
      <c r="G53" s="20">
        <f t="shared" si="6"/>
        <v>-2</v>
      </c>
      <c r="H53" s="12"/>
      <c r="I53" s="42">
        <f t="shared" si="7"/>
        <v>-0.4</v>
      </c>
      <c r="J53" s="26"/>
      <c r="K53" s="76" t="s">
        <v>18</v>
      </c>
      <c r="L53" s="111" t="s">
        <v>83</v>
      </c>
    </row>
    <row r="54" spans="2:15" ht="30" x14ac:dyDescent="0.25">
      <c r="B54" s="24">
        <v>5</v>
      </c>
      <c r="C54" s="111" t="s">
        <v>41</v>
      </c>
      <c r="D54" s="38">
        <v>5</v>
      </c>
      <c r="E54" s="15">
        <v>0</v>
      </c>
      <c r="F54" s="12"/>
      <c r="G54" s="20">
        <f t="shared" si="6"/>
        <v>-5</v>
      </c>
      <c r="H54" s="12"/>
      <c r="I54" s="42">
        <f t="shared" si="7"/>
        <v>-1</v>
      </c>
      <c r="J54" s="26"/>
      <c r="K54" s="76" t="s">
        <v>18</v>
      </c>
      <c r="L54" s="26"/>
    </row>
    <row r="55" spans="2:15" x14ac:dyDescent="0.25">
      <c r="B55" s="24">
        <v>6</v>
      </c>
      <c r="C55" s="12"/>
      <c r="D55" s="38"/>
      <c r="E55" s="15"/>
      <c r="F55" s="12"/>
      <c r="G55" s="20">
        <f t="shared" si="6"/>
        <v>0</v>
      </c>
      <c r="H55" s="12"/>
      <c r="I55" s="42" t="e">
        <f t="shared" si="7"/>
        <v>#DIV/0!</v>
      </c>
      <c r="J55" s="26"/>
      <c r="K55" s="76"/>
      <c r="L55" s="26"/>
    </row>
    <row r="56" spans="2:15" ht="15.75" thickBot="1" x14ac:dyDescent="0.3">
      <c r="B56" s="48">
        <v>7</v>
      </c>
      <c r="C56" s="13"/>
      <c r="D56" s="39"/>
      <c r="E56" s="19"/>
      <c r="F56" s="18"/>
      <c r="G56" s="56">
        <f t="shared" si="6"/>
        <v>0</v>
      </c>
      <c r="H56" s="18"/>
      <c r="I56" s="42" t="e">
        <f t="shared" si="7"/>
        <v>#DIV/0!</v>
      </c>
      <c r="J56" s="31"/>
      <c r="K56" s="77"/>
      <c r="L56" s="27"/>
    </row>
    <row r="57" spans="2:15" ht="15.75" thickBot="1" x14ac:dyDescent="0.3">
      <c r="C57" s="14" t="s">
        <v>8</v>
      </c>
      <c r="D57" s="6">
        <f>SUM(D50:D56)</f>
        <v>95</v>
      </c>
      <c r="E57" s="7">
        <f>SUM(E50:E56)</f>
        <v>173</v>
      </c>
      <c r="F57" s="7">
        <f>SUM(F50:F56)</f>
        <v>0</v>
      </c>
      <c r="G57" s="7">
        <f t="shared" si="6"/>
        <v>78</v>
      </c>
      <c r="H57" s="7"/>
      <c r="I57" s="42">
        <f t="shared" si="7"/>
        <v>0.82105263157894737</v>
      </c>
      <c r="J57" s="32"/>
      <c r="K57" s="32" t="s">
        <v>19</v>
      </c>
      <c r="L57" s="32"/>
    </row>
    <row r="60" spans="2:15" ht="15.75" thickBot="1" x14ac:dyDescent="0.3"/>
    <row r="61" spans="2:15" ht="15.75" thickBot="1" x14ac:dyDescent="0.3">
      <c r="C61" s="142" t="s">
        <v>12</v>
      </c>
      <c r="D61" s="143"/>
    </row>
    <row r="62" spans="2:15" ht="15.75" thickBot="1" x14ac:dyDescent="0.3">
      <c r="B62" s="5"/>
      <c r="C62" s="5"/>
      <c r="D62" s="5"/>
      <c r="E62" s="5"/>
      <c r="F62" s="5"/>
      <c r="G62" s="140" t="s">
        <v>2</v>
      </c>
      <c r="H62" s="141"/>
      <c r="I62" s="140" t="s">
        <v>13</v>
      </c>
      <c r="J62" s="141"/>
    </row>
    <row r="63" spans="2:15" ht="15.75" thickBot="1" x14ac:dyDescent="0.3">
      <c r="B63" s="22" t="s">
        <v>7</v>
      </c>
      <c r="C63" s="85" t="s">
        <v>5</v>
      </c>
      <c r="D63" s="86" t="s">
        <v>0</v>
      </c>
      <c r="E63" s="9" t="s">
        <v>6</v>
      </c>
      <c r="F63" s="85" t="s">
        <v>1</v>
      </c>
      <c r="G63" s="22" t="s">
        <v>17</v>
      </c>
      <c r="H63" s="85" t="s">
        <v>16</v>
      </c>
      <c r="I63" s="85" t="s">
        <v>17</v>
      </c>
      <c r="J63" s="86" t="s">
        <v>16</v>
      </c>
      <c r="K63" s="85" t="s">
        <v>14</v>
      </c>
      <c r="L63" s="85" t="s">
        <v>15</v>
      </c>
    </row>
    <row r="64" spans="2:15" ht="30" x14ac:dyDescent="0.25">
      <c r="B64" s="47">
        <v>1</v>
      </c>
      <c r="C64" s="67" t="s">
        <v>24</v>
      </c>
      <c r="D64" s="16">
        <v>10</v>
      </c>
      <c r="E64" s="20">
        <v>101</v>
      </c>
      <c r="F64" s="1"/>
      <c r="G64" s="20">
        <f>E64-D64</f>
        <v>91</v>
      </c>
      <c r="H64" s="30"/>
      <c r="I64" s="66">
        <f>G64/D64</f>
        <v>9.1</v>
      </c>
      <c r="J64" s="1"/>
      <c r="K64" s="1" t="s">
        <v>19</v>
      </c>
      <c r="L64" s="1"/>
      <c r="N64" s="59"/>
      <c r="O64" s="57"/>
    </row>
    <row r="65" spans="2:15" x14ac:dyDescent="0.25">
      <c r="B65" s="24">
        <v>2</v>
      </c>
      <c r="C65" s="50" t="s">
        <v>25</v>
      </c>
      <c r="D65" s="38">
        <v>10</v>
      </c>
      <c r="E65" s="15">
        <v>170</v>
      </c>
      <c r="F65" s="12"/>
      <c r="G65" s="20">
        <f t="shared" ref="G65:G71" si="8">E65-D65</f>
        <v>160</v>
      </c>
      <c r="H65" s="12"/>
      <c r="I65" s="42">
        <f t="shared" ref="I65:I71" si="9">G65/D65</f>
        <v>16</v>
      </c>
      <c r="J65" s="26"/>
      <c r="K65" s="26" t="s">
        <v>19</v>
      </c>
      <c r="L65" s="26"/>
      <c r="N65" s="59"/>
      <c r="O65" s="57"/>
    </row>
    <row r="66" spans="2:15" ht="75" x14ac:dyDescent="0.25">
      <c r="B66" s="24">
        <v>3</v>
      </c>
      <c r="C66" s="50" t="s">
        <v>37</v>
      </c>
      <c r="D66" s="38">
        <v>8</v>
      </c>
      <c r="E66" s="15">
        <v>26</v>
      </c>
      <c r="F66" s="12"/>
      <c r="G66" s="20">
        <f t="shared" si="8"/>
        <v>18</v>
      </c>
      <c r="H66" s="12"/>
      <c r="I66" s="42">
        <f t="shared" si="9"/>
        <v>2.25</v>
      </c>
      <c r="J66" s="26"/>
      <c r="K66" s="26" t="s">
        <v>19</v>
      </c>
      <c r="L66" s="68" t="s">
        <v>85</v>
      </c>
      <c r="N66" s="59"/>
      <c r="O66" s="57"/>
    </row>
    <row r="67" spans="2:15" x14ac:dyDescent="0.25">
      <c r="B67" s="24">
        <v>4</v>
      </c>
      <c r="C67" s="12"/>
      <c r="D67" s="38"/>
      <c r="E67" s="15"/>
      <c r="F67" s="12"/>
      <c r="G67" s="20">
        <f t="shared" si="8"/>
        <v>0</v>
      </c>
      <c r="H67" s="12"/>
      <c r="I67" s="42" t="e">
        <f t="shared" si="9"/>
        <v>#DIV/0!</v>
      </c>
      <c r="J67" s="26"/>
      <c r="K67" s="26"/>
      <c r="L67" s="26"/>
    </row>
    <row r="68" spans="2:15" x14ac:dyDescent="0.25">
      <c r="B68" s="24">
        <v>5</v>
      </c>
      <c r="C68" s="12"/>
      <c r="D68" s="38"/>
      <c r="E68" s="15"/>
      <c r="F68" s="12"/>
      <c r="G68" s="20">
        <f t="shared" si="8"/>
        <v>0</v>
      </c>
      <c r="H68" s="12"/>
      <c r="I68" s="42" t="e">
        <f t="shared" si="9"/>
        <v>#DIV/0!</v>
      </c>
      <c r="J68" s="26"/>
      <c r="K68" s="26"/>
      <c r="L68" s="26"/>
    </row>
    <row r="69" spans="2:15" x14ac:dyDescent="0.25">
      <c r="B69" s="24">
        <v>6</v>
      </c>
      <c r="C69" s="12"/>
      <c r="D69" s="38"/>
      <c r="E69" s="15"/>
      <c r="F69" s="12"/>
      <c r="G69" s="20">
        <f t="shared" si="8"/>
        <v>0</v>
      </c>
      <c r="H69" s="12"/>
      <c r="I69" s="42" t="e">
        <f t="shared" si="9"/>
        <v>#DIV/0!</v>
      </c>
      <c r="J69" s="26"/>
      <c r="K69" s="26"/>
      <c r="L69" s="26"/>
    </row>
    <row r="70" spans="2:15" ht="15.75" thickBot="1" x14ac:dyDescent="0.3">
      <c r="B70" s="48">
        <v>7</v>
      </c>
      <c r="C70" s="13"/>
      <c r="D70" s="39"/>
      <c r="E70" s="19"/>
      <c r="F70" s="18"/>
      <c r="G70" s="20">
        <f t="shared" si="8"/>
        <v>0</v>
      </c>
      <c r="H70" s="18"/>
      <c r="I70" s="42" t="e">
        <f t="shared" si="9"/>
        <v>#DIV/0!</v>
      </c>
      <c r="J70" s="27"/>
      <c r="K70" s="27"/>
      <c r="L70" s="27"/>
    </row>
    <row r="71" spans="2:15" ht="15.75" thickBot="1" x14ac:dyDescent="0.3">
      <c r="C71" s="14" t="s">
        <v>8</v>
      </c>
      <c r="D71" s="6">
        <f>SUM(D64:D70)</f>
        <v>28</v>
      </c>
      <c r="E71" s="7">
        <f>SUM(E64:E70)</f>
        <v>297</v>
      </c>
      <c r="F71" s="7">
        <f>SUM(F64:F70)</f>
        <v>0</v>
      </c>
      <c r="G71" s="20">
        <f t="shared" si="8"/>
        <v>269</v>
      </c>
      <c r="H71" s="7"/>
      <c r="I71" s="42">
        <f t="shared" si="9"/>
        <v>9.6071428571428577</v>
      </c>
      <c r="J71" s="35"/>
      <c r="K71" s="33" t="s">
        <v>19</v>
      </c>
      <c r="L71" s="34"/>
    </row>
  </sheetData>
  <mergeCells count="22">
    <mergeCell ref="G6:H6"/>
    <mergeCell ref="I6:J6"/>
    <mergeCell ref="K2:M2"/>
    <mergeCell ref="C3:G3"/>
    <mergeCell ref="K3:M3"/>
    <mergeCell ref="K4:M4"/>
    <mergeCell ref="C5:D5"/>
    <mergeCell ref="K18:M18"/>
    <mergeCell ref="K19:M19"/>
    <mergeCell ref="K20:M20"/>
    <mergeCell ref="C21:D21"/>
    <mergeCell ref="G22:H22"/>
    <mergeCell ref="I22:J22"/>
    <mergeCell ref="C61:D61"/>
    <mergeCell ref="G62:H62"/>
    <mergeCell ref="I62:J62"/>
    <mergeCell ref="C34:D34"/>
    <mergeCell ref="G35:H35"/>
    <mergeCell ref="I35:J35"/>
    <mergeCell ref="C47:D47"/>
    <mergeCell ref="G48:H48"/>
    <mergeCell ref="I48:J48"/>
  </mergeCells>
  <conditionalFormatting sqref="K8:K14">
    <cfRule type="containsText" dxfId="27" priority="7" operator="containsText" text="Green">
      <formula>NOT(ISERROR(SEARCH("Green",K8)))</formula>
    </cfRule>
  </conditionalFormatting>
  <conditionalFormatting sqref="K21:K1048576 K1:K16">
    <cfRule type="containsText" dxfId="26" priority="4" operator="containsText" text="Amber">
      <formula>NOT(ISERROR(SEARCH("Amber",K1)))</formula>
    </cfRule>
    <cfRule type="containsText" dxfId="25" priority="5" operator="containsText" text="Red">
      <formula>NOT(ISERROR(SEARCH("Red",K1)))</formula>
    </cfRule>
    <cfRule type="containsText" dxfId="24" priority="6" operator="containsText" text="Green">
      <formula>NOT(ISERROR(SEARCH("Green",K1)))</formula>
    </cfRule>
  </conditionalFormatting>
  <conditionalFormatting sqref="K17:K20">
    <cfRule type="containsText" dxfId="23" priority="1" operator="containsText" text="Amber">
      <formula>NOT(ISERROR(SEARCH("Amber",K17)))</formula>
    </cfRule>
    <cfRule type="containsText" dxfId="22" priority="2" operator="containsText" text="Red">
      <formula>NOT(ISERROR(SEARCH("Red",K17)))</formula>
    </cfRule>
    <cfRule type="containsText" dxfId="21" priority="3" operator="containsText" text="Green">
      <formula>NOT(ISERROR(SEARCH("Green",K17)))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66"/>
  <sheetViews>
    <sheetView topLeftCell="A13" workbookViewId="0">
      <selection activeCell="W25" sqref="A1:XFD1048576"/>
    </sheetView>
  </sheetViews>
  <sheetFormatPr defaultRowHeight="15" x14ac:dyDescent="0.25"/>
  <cols>
    <col min="2" max="2" width="7" customWidth="1"/>
    <col min="3" max="3" width="22" customWidth="1"/>
    <col min="4" max="4" width="16.5703125" bestFit="1" customWidth="1"/>
    <col min="5" max="5" width="15.7109375" bestFit="1" customWidth="1"/>
    <col min="6" max="6" width="14.85546875" bestFit="1" customWidth="1"/>
    <col min="7" max="7" width="8.42578125" customWidth="1"/>
    <col min="8" max="8" width="9.7109375" customWidth="1"/>
    <col min="9" max="9" width="8.5703125" customWidth="1"/>
    <col min="10" max="10" width="8.85546875" customWidth="1"/>
    <col min="11" max="11" width="13.140625" customWidth="1"/>
    <col min="12" max="12" width="14" customWidth="1"/>
    <col min="13" max="13" width="12.5703125" customWidth="1"/>
    <col min="14" max="14" width="13.7109375" customWidth="1"/>
    <col min="15" max="15" width="16" customWidth="1"/>
    <col min="16" max="16" width="13.7109375" customWidth="1"/>
    <col min="17" max="17" width="16" customWidth="1"/>
    <col min="18" max="18" width="13.140625" customWidth="1"/>
    <col min="19" max="19" width="15.42578125" bestFit="1" customWidth="1"/>
    <col min="20" max="20" width="18" customWidth="1"/>
    <col min="21" max="21" width="18.5703125" customWidth="1"/>
    <col min="22" max="22" width="22.7109375" customWidth="1"/>
    <col min="23" max="23" width="22.140625" customWidth="1"/>
    <col min="24" max="24" width="15" customWidth="1"/>
    <col min="25" max="25" width="12.7109375" customWidth="1"/>
    <col min="26" max="26" width="26" customWidth="1"/>
    <col min="27" max="27" width="12.7109375" customWidth="1"/>
    <col min="28" max="28" width="6.42578125" customWidth="1"/>
    <col min="29" max="29" width="24.140625" customWidth="1"/>
    <col min="30" max="30" width="40" bestFit="1" customWidth="1"/>
    <col min="31" max="31" width="24.42578125" customWidth="1"/>
    <col min="32" max="32" width="40" bestFit="1" customWidth="1"/>
    <col min="33" max="33" width="20.7109375" customWidth="1"/>
    <col min="34" max="34" width="20.42578125" customWidth="1"/>
    <col min="35" max="35" width="12" customWidth="1"/>
    <col min="36" max="36" width="12" bestFit="1" customWidth="1"/>
  </cols>
  <sheetData>
    <row r="2" spans="2:36" ht="15.75" thickBot="1" x14ac:dyDescent="0.3">
      <c r="J2" s="72" t="s">
        <v>19</v>
      </c>
      <c r="K2" s="145" t="s">
        <v>64</v>
      </c>
      <c r="L2" s="145"/>
      <c r="M2" s="145"/>
    </row>
    <row r="3" spans="2:36" ht="15.75" thickBot="1" x14ac:dyDescent="0.3">
      <c r="C3" s="142" t="s">
        <v>3</v>
      </c>
      <c r="D3" s="144"/>
      <c r="E3" s="144"/>
      <c r="F3" s="144"/>
      <c r="G3" s="143"/>
      <c r="H3" s="21"/>
      <c r="I3" s="21"/>
      <c r="J3" s="73" t="s">
        <v>54</v>
      </c>
      <c r="K3" s="145" t="s">
        <v>65</v>
      </c>
      <c r="L3" s="145"/>
      <c r="M3" s="145"/>
      <c r="O3" s="59"/>
    </row>
    <row r="4" spans="2:36" s="4" customFormat="1" ht="15.75" thickBot="1" x14ac:dyDescent="0.3">
      <c r="C4" s="3"/>
      <c r="D4" s="3"/>
      <c r="E4" s="3"/>
      <c r="F4" s="3"/>
      <c r="G4" s="3"/>
      <c r="H4" s="3"/>
      <c r="I4" s="3"/>
      <c r="J4" s="74" t="s">
        <v>18</v>
      </c>
      <c r="K4" s="146" t="s">
        <v>62</v>
      </c>
      <c r="L4" s="146"/>
      <c r="M4" s="146"/>
      <c r="O4" s="59"/>
    </row>
    <row r="5" spans="2:36" ht="15.75" thickBot="1" x14ac:dyDescent="0.3">
      <c r="C5" s="142" t="s">
        <v>4</v>
      </c>
      <c r="D5" s="143"/>
      <c r="O5" s="59"/>
    </row>
    <row r="6" spans="2:36" s="5" customFormat="1" ht="15.75" thickBot="1" x14ac:dyDescent="0.3">
      <c r="G6" s="140" t="s">
        <v>2</v>
      </c>
      <c r="H6" s="141"/>
      <c r="I6" s="140" t="s">
        <v>13</v>
      </c>
      <c r="J6" s="141"/>
      <c r="M6"/>
      <c r="N6" s="57"/>
      <c r="O6"/>
      <c r="P6"/>
      <c r="Q6"/>
      <c r="R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2:36" ht="15.75" thickBot="1" x14ac:dyDescent="0.3">
      <c r="B7" s="36" t="s">
        <v>7</v>
      </c>
      <c r="C7" s="119" t="s">
        <v>5</v>
      </c>
      <c r="D7" s="120" t="s">
        <v>0</v>
      </c>
      <c r="E7" s="9" t="s">
        <v>6</v>
      </c>
      <c r="F7" s="22" t="s">
        <v>1</v>
      </c>
      <c r="G7" s="119" t="s">
        <v>17</v>
      </c>
      <c r="H7" s="119" t="s">
        <v>16</v>
      </c>
      <c r="I7" s="119" t="s">
        <v>17</v>
      </c>
      <c r="J7" s="119" t="s">
        <v>16</v>
      </c>
      <c r="K7" s="119" t="s">
        <v>14</v>
      </c>
      <c r="L7" s="119" t="s">
        <v>15</v>
      </c>
      <c r="N7" s="57"/>
      <c r="O7" s="94" t="s">
        <v>70</v>
      </c>
      <c r="P7" s="95" t="s">
        <v>5</v>
      </c>
      <c r="Q7" s="95" t="s">
        <v>72</v>
      </c>
      <c r="R7" s="4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</row>
    <row r="8" spans="2:36" ht="30" x14ac:dyDescent="0.25">
      <c r="B8" s="98">
        <v>1</v>
      </c>
      <c r="C8" s="105" t="s">
        <v>20</v>
      </c>
      <c r="D8" s="106">
        <v>7</v>
      </c>
      <c r="E8" s="107">
        <v>53</v>
      </c>
      <c r="F8" s="108"/>
      <c r="G8" s="109">
        <f>E8-D8</f>
        <v>46</v>
      </c>
      <c r="H8" s="109"/>
      <c r="I8" s="110">
        <f>G8/D8</f>
        <v>6.5714285714285712</v>
      </c>
      <c r="J8" s="105"/>
      <c r="K8" s="105" t="s">
        <v>19</v>
      </c>
      <c r="L8" s="105" t="s">
        <v>60</v>
      </c>
      <c r="N8" s="57"/>
      <c r="O8" s="87" t="s">
        <v>71</v>
      </c>
      <c r="P8" s="88" t="s">
        <v>21</v>
      </c>
      <c r="Q8" s="89">
        <f>$I$9</f>
        <v>2.6</v>
      </c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</row>
    <row r="9" spans="2:36" ht="48" customHeight="1" x14ac:dyDescent="0.25">
      <c r="B9" s="12">
        <v>2</v>
      </c>
      <c r="C9" s="50" t="s">
        <v>21</v>
      </c>
      <c r="D9" s="38">
        <v>10</v>
      </c>
      <c r="E9" s="15">
        <v>36</v>
      </c>
      <c r="F9" s="24"/>
      <c r="G9" s="12">
        <f t="shared" ref="G9:G15" si="0">E9-D9</f>
        <v>26</v>
      </c>
      <c r="H9" s="12"/>
      <c r="I9" s="42">
        <f t="shared" ref="I9:I12" si="1">G9/D9</f>
        <v>2.6</v>
      </c>
      <c r="J9" s="26"/>
      <c r="K9" s="26" t="s">
        <v>19</v>
      </c>
      <c r="L9" s="26"/>
      <c r="M9" s="4"/>
      <c r="O9" s="87" t="s">
        <v>71</v>
      </c>
      <c r="P9" s="88" t="s">
        <v>90</v>
      </c>
      <c r="Q9" s="93">
        <f>$I$11</f>
        <v>-0.5</v>
      </c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</row>
    <row r="10" spans="2:36" ht="30" x14ac:dyDescent="0.25">
      <c r="B10" s="98">
        <v>3</v>
      </c>
      <c r="C10" s="99" t="s">
        <v>28</v>
      </c>
      <c r="D10" s="100">
        <v>24</v>
      </c>
      <c r="E10" s="101">
        <v>49</v>
      </c>
      <c r="F10" s="102"/>
      <c r="G10" s="98">
        <f t="shared" si="0"/>
        <v>25</v>
      </c>
      <c r="H10" s="98"/>
      <c r="I10" s="103">
        <f t="shared" si="1"/>
        <v>1.0416666666666667</v>
      </c>
      <c r="J10" s="104"/>
      <c r="K10" s="104" t="s">
        <v>19</v>
      </c>
      <c r="L10" s="105" t="s">
        <v>60</v>
      </c>
      <c r="O10" s="87" t="s">
        <v>73</v>
      </c>
      <c r="P10" s="63" t="s">
        <v>22</v>
      </c>
      <c r="Q10" s="93">
        <f>$I$24</f>
        <v>-0.43333333333333335</v>
      </c>
      <c r="R10" s="59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</row>
    <row r="11" spans="2:36" x14ac:dyDescent="0.25">
      <c r="B11" s="24">
        <v>4</v>
      </c>
      <c r="C11" s="92" t="s">
        <v>90</v>
      </c>
      <c r="D11" s="122">
        <v>20</v>
      </c>
      <c r="E11" s="122">
        <v>10</v>
      </c>
      <c r="F11" s="15"/>
      <c r="G11" s="12">
        <f t="shared" si="0"/>
        <v>-10</v>
      </c>
      <c r="H11" s="12"/>
      <c r="I11" s="42">
        <f t="shared" si="1"/>
        <v>-0.5</v>
      </c>
      <c r="J11" s="26"/>
      <c r="K11" s="26" t="s">
        <v>18</v>
      </c>
      <c r="L11" s="26"/>
      <c r="O11" s="87" t="s">
        <v>73</v>
      </c>
      <c r="P11" s="88" t="s">
        <v>92</v>
      </c>
      <c r="Q11" s="93">
        <f>$I$25</f>
        <v>-0.75</v>
      </c>
      <c r="R11" s="59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</row>
    <row r="12" spans="2:36" ht="15.75" thickBot="1" x14ac:dyDescent="0.3">
      <c r="B12" s="13">
        <v>5</v>
      </c>
      <c r="C12" s="13"/>
      <c r="D12" s="39"/>
      <c r="E12" s="19"/>
      <c r="F12" s="25"/>
      <c r="G12" s="18">
        <f t="shared" si="0"/>
        <v>0</v>
      </c>
      <c r="H12" s="18"/>
      <c r="I12" s="54" t="e">
        <f t="shared" si="1"/>
        <v>#DIV/0!</v>
      </c>
      <c r="J12" s="31"/>
      <c r="K12" s="31"/>
      <c r="L12" s="27"/>
      <c r="O12" s="87" t="s">
        <v>73</v>
      </c>
      <c r="P12" s="88" t="s">
        <v>40</v>
      </c>
      <c r="Q12" s="93">
        <f>I26</f>
        <v>-3.6363636363636362E-2</v>
      </c>
      <c r="R12" s="59"/>
    </row>
    <row r="13" spans="2:36" ht="15.75" thickBot="1" x14ac:dyDescent="0.3">
      <c r="B13" s="56"/>
      <c r="C13" s="112"/>
      <c r="D13" s="56"/>
      <c r="E13" s="56"/>
      <c r="F13" s="113"/>
      <c r="G13" s="53"/>
      <c r="H13" s="53"/>
      <c r="I13" s="114"/>
      <c r="J13" s="115"/>
      <c r="K13" s="115"/>
      <c r="L13" s="116"/>
      <c r="O13" s="125" t="s">
        <v>73</v>
      </c>
      <c r="P13" s="88" t="s">
        <v>86</v>
      </c>
      <c r="Q13" s="127">
        <v>0</v>
      </c>
      <c r="R13" s="59"/>
    </row>
    <row r="14" spans="2:36" ht="15.75" thickBot="1" x14ac:dyDescent="0.3">
      <c r="B14" s="56"/>
      <c r="C14" s="112"/>
      <c r="D14" s="56"/>
      <c r="E14" s="56"/>
      <c r="F14" s="113"/>
      <c r="G14" s="53"/>
      <c r="H14" s="53"/>
      <c r="I14" s="114"/>
      <c r="J14" s="115"/>
      <c r="K14" s="115"/>
      <c r="L14" s="116"/>
      <c r="O14" s="125" t="s">
        <v>73</v>
      </c>
      <c r="P14" s="88" t="s">
        <v>93</v>
      </c>
      <c r="Q14" s="127">
        <v>0</v>
      </c>
      <c r="R14" s="59"/>
    </row>
    <row r="15" spans="2:36" ht="30.75" thickBot="1" x14ac:dyDescent="0.3">
      <c r="C15" s="14" t="s">
        <v>8</v>
      </c>
      <c r="D15" s="6">
        <f>SUM(D8:D12)</f>
        <v>61</v>
      </c>
      <c r="E15" s="7">
        <f>SUM(E8:E12)</f>
        <v>148</v>
      </c>
      <c r="F15" s="6">
        <f>SUM(F8:F12)</f>
        <v>0</v>
      </c>
      <c r="G15" s="7">
        <f t="shared" si="0"/>
        <v>87</v>
      </c>
      <c r="H15" s="7"/>
      <c r="I15" s="55">
        <f>G15/D15</f>
        <v>1.4262295081967213</v>
      </c>
      <c r="J15" s="32"/>
      <c r="K15" s="32" t="s">
        <v>19</v>
      </c>
      <c r="L15" s="32"/>
      <c r="O15" s="125" t="s">
        <v>75</v>
      </c>
      <c r="P15" s="88" t="s">
        <v>29</v>
      </c>
      <c r="Q15" s="128">
        <f>$I$35</f>
        <v>0.33333333333333331</v>
      </c>
      <c r="R15" s="59"/>
    </row>
    <row r="16" spans="2:36" x14ac:dyDescent="0.25">
      <c r="C16" s="81"/>
      <c r="D16" s="56"/>
      <c r="E16" s="56"/>
      <c r="F16" s="56"/>
      <c r="G16" s="56"/>
      <c r="H16" s="56"/>
      <c r="I16" s="82"/>
      <c r="J16" s="83"/>
      <c r="K16" s="83"/>
      <c r="L16" s="83"/>
      <c r="O16" s="125" t="str">
        <f t="shared" ref="O16:P16" si="2">O14</f>
        <v>Development</v>
      </c>
      <c r="P16" s="88" t="str">
        <f t="shared" si="2"/>
        <v>ADF</v>
      </c>
      <c r="Q16" s="128"/>
      <c r="R16" s="59"/>
    </row>
    <row r="17" spans="2:17" ht="30" x14ac:dyDescent="0.25">
      <c r="C17" s="81"/>
      <c r="D17" s="56"/>
      <c r="E17" s="56"/>
      <c r="F17" s="56"/>
      <c r="G17" s="56"/>
      <c r="H17" s="56"/>
      <c r="O17" s="126" t="s">
        <v>77</v>
      </c>
      <c r="P17" s="88" t="s">
        <v>23</v>
      </c>
      <c r="Q17" s="128">
        <f>$I$48</f>
        <v>4</v>
      </c>
    </row>
    <row r="18" spans="2:17" x14ac:dyDescent="0.25">
      <c r="C18" s="81"/>
      <c r="D18" s="56"/>
      <c r="E18" s="56"/>
      <c r="F18" s="56"/>
      <c r="G18" s="56"/>
      <c r="H18" s="56"/>
      <c r="J18" s="72" t="s">
        <v>19</v>
      </c>
      <c r="K18" s="145" t="s">
        <v>67</v>
      </c>
      <c r="L18" s="145"/>
      <c r="M18" s="145"/>
      <c r="O18" s="126" t="s">
        <v>77</v>
      </c>
      <c r="P18" s="122" t="s">
        <v>82</v>
      </c>
      <c r="Q18" s="128"/>
    </row>
    <row r="19" spans="2:17" x14ac:dyDescent="0.25">
      <c r="I19" s="21"/>
      <c r="J19" s="73" t="s">
        <v>54</v>
      </c>
      <c r="K19" s="145" t="s">
        <v>66</v>
      </c>
      <c r="L19" s="145"/>
      <c r="M19" s="145"/>
      <c r="O19" s="126" t="s">
        <v>77</v>
      </c>
      <c r="P19" s="129" t="s">
        <v>94</v>
      </c>
      <c r="Q19" s="128">
        <f>$I$50</f>
        <v>-1</v>
      </c>
    </row>
    <row r="20" spans="2:17" ht="15.75" thickBot="1" x14ac:dyDescent="0.3">
      <c r="I20" s="3"/>
      <c r="J20" s="74" t="s">
        <v>18</v>
      </c>
      <c r="K20" s="146" t="s">
        <v>62</v>
      </c>
      <c r="L20" s="146"/>
      <c r="M20" s="146"/>
      <c r="O20" s="125" t="s">
        <v>76</v>
      </c>
      <c r="P20" s="88" t="s">
        <v>89</v>
      </c>
      <c r="Q20" s="128">
        <f>$I$60</f>
        <v>9.6</v>
      </c>
    </row>
    <row r="21" spans="2:17" ht="30.75" thickBot="1" x14ac:dyDescent="0.3">
      <c r="C21" s="142" t="s">
        <v>9</v>
      </c>
      <c r="D21" s="143"/>
      <c r="O21" s="87" t="s">
        <v>76</v>
      </c>
      <c r="P21" s="88" t="s">
        <v>25</v>
      </c>
      <c r="Q21" s="89">
        <f>I61</f>
        <v>16.5</v>
      </c>
    </row>
    <row r="22" spans="2:17" ht="15.75" thickBot="1" x14ac:dyDescent="0.3">
      <c r="B22" s="5"/>
      <c r="C22" s="5"/>
      <c r="D22" s="5"/>
      <c r="E22" s="5"/>
      <c r="F22" s="5"/>
      <c r="G22" s="140" t="s">
        <v>2</v>
      </c>
      <c r="H22" s="141"/>
      <c r="I22" s="140" t="s">
        <v>13</v>
      </c>
      <c r="J22" s="141"/>
      <c r="O22" s="83"/>
      <c r="P22" s="123"/>
      <c r="Q22" s="124"/>
    </row>
    <row r="23" spans="2:17" ht="15.75" thickBot="1" x14ac:dyDescent="0.3">
      <c r="B23" s="22" t="s">
        <v>7</v>
      </c>
      <c r="C23" s="119" t="s">
        <v>5</v>
      </c>
      <c r="D23" s="120" t="s">
        <v>0</v>
      </c>
      <c r="E23" s="9" t="s">
        <v>6</v>
      </c>
      <c r="F23" s="119" t="s">
        <v>1</v>
      </c>
      <c r="G23" s="119" t="s">
        <v>17</v>
      </c>
      <c r="H23" s="119" t="s">
        <v>16</v>
      </c>
      <c r="I23" s="119" t="s">
        <v>17</v>
      </c>
      <c r="J23" s="119" t="s">
        <v>16</v>
      </c>
      <c r="K23" s="22" t="s">
        <v>14</v>
      </c>
      <c r="L23" s="119" t="s">
        <v>15</v>
      </c>
    </row>
    <row r="24" spans="2:17" x14ac:dyDescent="0.25">
      <c r="B24" s="62">
        <v>1</v>
      </c>
      <c r="C24" s="63" t="s">
        <v>22</v>
      </c>
      <c r="D24" s="16">
        <v>60</v>
      </c>
      <c r="E24" s="20">
        <v>34</v>
      </c>
      <c r="F24" s="1"/>
      <c r="G24" s="30">
        <f>E24-D24</f>
        <v>-26</v>
      </c>
      <c r="H24" s="30"/>
      <c r="I24" s="64">
        <f>G24/D24</f>
        <v>-0.43333333333333335</v>
      </c>
      <c r="J24" s="1"/>
      <c r="K24" s="23" t="s">
        <v>18</v>
      </c>
      <c r="L24" s="75"/>
    </row>
    <row r="25" spans="2:17" ht="60" x14ac:dyDescent="0.25">
      <c r="B25" s="24">
        <v>4</v>
      </c>
      <c r="C25" s="40" t="s">
        <v>91</v>
      </c>
      <c r="D25" s="38">
        <v>20</v>
      </c>
      <c r="E25" s="15">
        <v>5</v>
      </c>
      <c r="F25" s="12"/>
      <c r="G25" s="30">
        <f t="shared" ref="G25:G29" si="3">E25-D25</f>
        <v>-15</v>
      </c>
      <c r="H25" s="12"/>
      <c r="I25" s="41">
        <f t="shared" ref="I25:I29" si="4">G25/D25</f>
        <v>-0.75</v>
      </c>
      <c r="J25" s="26"/>
      <c r="K25" s="76" t="s">
        <v>18</v>
      </c>
      <c r="L25" s="46" t="s">
        <v>32</v>
      </c>
    </row>
    <row r="26" spans="2:17" ht="120" x14ac:dyDescent="0.25">
      <c r="B26" s="24">
        <v>5</v>
      </c>
      <c r="C26" s="40" t="s">
        <v>40</v>
      </c>
      <c r="D26" s="38">
        <v>55</v>
      </c>
      <c r="E26" s="15">
        <v>53</v>
      </c>
      <c r="F26" s="12"/>
      <c r="G26" s="30">
        <f t="shared" si="3"/>
        <v>-2</v>
      </c>
      <c r="H26" s="12"/>
      <c r="I26" s="41">
        <f t="shared" si="4"/>
        <v>-3.6363636363636362E-2</v>
      </c>
      <c r="J26" s="26"/>
      <c r="K26" s="76" t="s">
        <v>18</v>
      </c>
      <c r="L26" s="97" t="s">
        <v>80</v>
      </c>
    </row>
    <row r="27" spans="2:17" ht="90" x14ac:dyDescent="0.25">
      <c r="B27" s="24">
        <v>6</v>
      </c>
      <c r="C27" s="40" t="s">
        <v>41</v>
      </c>
      <c r="D27" s="38">
        <v>45</v>
      </c>
      <c r="E27" s="15">
        <v>45</v>
      </c>
      <c r="F27" s="12"/>
      <c r="G27" s="30">
        <f t="shared" si="3"/>
        <v>0</v>
      </c>
      <c r="H27" s="12"/>
      <c r="I27" s="41">
        <f t="shared" si="4"/>
        <v>0</v>
      </c>
      <c r="J27" s="26"/>
      <c r="K27" s="76" t="s">
        <v>18</v>
      </c>
      <c r="L27" s="97" t="s">
        <v>81</v>
      </c>
    </row>
    <row r="28" spans="2:17" ht="15.75" thickBot="1" x14ac:dyDescent="0.3">
      <c r="B28" s="48">
        <v>7</v>
      </c>
      <c r="C28" s="13"/>
      <c r="D28" s="39"/>
      <c r="E28" s="19"/>
      <c r="F28" s="18"/>
      <c r="G28" s="53">
        <f t="shared" si="3"/>
        <v>0</v>
      </c>
      <c r="H28" s="18"/>
      <c r="I28" s="51" t="e">
        <f t="shared" si="4"/>
        <v>#DIV/0!</v>
      </c>
      <c r="J28" s="31"/>
      <c r="K28" s="77"/>
      <c r="L28" s="96"/>
    </row>
    <row r="29" spans="2:17" ht="15.75" thickBot="1" x14ac:dyDescent="0.3">
      <c r="C29" s="49" t="s">
        <v>8</v>
      </c>
      <c r="D29" s="6">
        <f>SUM(D24:D28)</f>
        <v>180</v>
      </c>
      <c r="E29" s="7">
        <f>SUM(E24:E28)</f>
        <v>137</v>
      </c>
      <c r="F29" s="7">
        <f>SUM(F24:F28)</f>
        <v>0</v>
      </c>
      <c r="G29" s="7">
        <f t="shared" si="3"/>
        <v>-43</v>
      </c>
      <c r="H29" s="7"/>
      <c r="I29" s="52">
        <f t="shared" si="4"/>
        <v>-0.2388888888888889</v>
      </c>
      <c r="J29" s="32"/>
      <c r="K29" s="32" t="s">
        <v>18</v>
      </c>
      <c r="L29" s="32"/>
    </row>
    <row r="31" spans="2:17" ht="15.75" thickBot="1" x14ac:dyDescent="0.3"/>
    <row r="32" spans="2:17" ht="15.75" thickBot="1" x14ac:dyDescent="0.3">
      <c r="C32" s="142" t="s">
        <v>10</v>
      </c>
      <c r="D32" s="143"/>
    </row>
    <row r="33" spans="2:15" ht="15.75" thickBot="1" x14ac:dyDescent="0.3">
      <c r="B33" s="5"/>
      <c r="C33" s="5"/>
      <c r="D33" s="5"/>
      <c r="E33" s="5"/>
      <c r="F33" s="5"/>
      <c r="G33" s="140" t="s">
        <v>2</v>
      </c>
      <c r="H33" s="141"/>
      <c r="I33" s="140" t="s">
        <v>13</v>
      </c>
      <c r="J33" s="141"/>
    </row>
    <row r="34" spans="2:15" ht="15.75" thickBot="1" x14ac:dyDescent="0.3">
      <c r="B34" s="119" t="s">
        <v>7</v>
      </c>
      <c r="C34" s="9" t="s">
        <v>5</v>
      </c>
      <c r="D34" s="119" t="s">
        <v>0</v>
      </c>
      <c r="E34" s="9" t="s">
        <v>6</v>
      </c>
      <c r="F34" s="119" t="s">
        <v>1</v>
      </c>
      <c r="G34" s="22" t="s">
        <v>17</v>
      </c>
      <c r="H34" s="119" t="s">
        <v>16</v>
      </c>
      <c r="I34" s="119" t="s">
        <v>17</v>
      </c>
      <c r="J34" s="119" t="s">
        <v>16</v>
      </c>
      <c r="K34" s="119" t="s">
        <v>14</v>
      </c>
      <c r="L34" s="119" t="s">
        <v>15</v>
      </c>
      <c r="N34" s="59"/>
      <c r="O34" s="57"/>
    </row>
    <row r="35" spans="2:15" x14ac:dyDescent="0.25">
      <c r="B35" s="11">
        <v>1</v>
      </c>
      <c r="C35" s="121" t="s">
        <v>29</v>
      </c>
      <c r="D35" s="1">
        <v>3</v>
      </c>
      <c r="E35" s="2">
        <v>4</v>
      </c>
      <c r="F35" s="1"/>
      <c r="G35" s="20">
        <f>E35-D35</f>
        <v>1</v>
      </c>
      <c r="H35" s="30"/>
      <c r="I35" s="64">
        <f>G35/D35</f>
        <v>0.33333333333333331</v>
      </c>
      <c r="J35" s="1"/>
      <c r="K35" s="1" t="s">
        <v>19</v>
      </c>
      <c r="L35" s="78"/>
      <c r="N35" s="59"/>
      <c r="O35" s="57"/>
    </row>
    <row r="36" spans="2:15" x14ac:dyDescent="0.25">
      <c r="B36" s="12">
        <v>2</v>
      </c>
      <c r="C36" s="15"/>
      <c r="D36" s="12"/>
      <c r="E36" s="15"/>
      <c r="F36" s="12"/>
      <c r="G36" s="20">
        <f t="shared" ref="G36:G42" si="5">E36-D36</f>
        <v>0</v>
      </c>
      <c r="H36" s="12"/>
      <c r="I36" s="12" t="e">
        <f t="shared" ref="I36:I42" si="6">G36/D36</f>
        <v>#DIV/0!</v>
      </c>
      <c r="J36" s="26"/>
      <c r="K36" s="26"/>
      <c r="L36" s="26"/>
      <c r="N36" s="59"/>
      <c r="O36" s="57"/>
    </row>
    <row r="37" spans="2:15" x14ac:dyDescent="0.25">
      <c r="B37" s="12">
        <v>3</v>
      </c>
      <c r="C37" s="15"/>
      <c r="D37" s="12"/>
      <c r="E37" s="15"/>
      <c r="F37" s="12"/>
      <c r="G37" s="20">
        <f t="shared" si="5"/>
        <v>0</v>
      </c>
      <c r="H37" s="12"/>
      <c r="I37" s="12" t="e">
        <f t="shared" si="6"/>
        <v>#DIV/0!</v>
      </c>
      <c r="J37" s="26"/>
      <c r="K37" s="26"/>
      <c r="L37" s="26"/>
    </row>
    <row r="38" spans="2:15" x14ac:dyDescent="0.25">
      <c r="B38" s="12">
        <v>4</v>
      </c>
      <c r="C38" s="15"/>
      <c r="D38" s="12"/>
      <c r="E38" s="15"/>
      <c r="F38" s="12"/>
      <c r="G38" s="20">
        <f t="shared" si="5"/>
        <v>0</v>
      </c>
      <c r="H38" s="12"/>
      <c r="I38" s="12" t="e">
        <f t="shared" si="6"/>
        <v>#DIV/0!</v>
      </c>
      <c r="J38" s="26"/>
      <c r="K38" s="26"/>
      <c r="L38" s="26"/>
    </row>
    <row r="39" spans="2:15" x14ac:dyDescent="0.25">
      <c r="B39" s="12">
        <v>5</v>
      </c>
      <c r="C39" s="15"/>
      <c r="D39" s="12"/>
      <c r="E39" s="15"/>
      <c r="F39" s="12"/>
      <c r="G39" s="20">
        <f t="shared" si="5"/>
        <v>0</v>
      </c>
      <c r="H39" s="12"/>
      <c r="I39" s="12" t="e">
        <f t="shared" si="6"/>
        <v>#DIV/0!</v>
      </c>
      <c r="J39" s="26"/>
      <c r="K39" s="26"/>
      <c r="L39" s="26"/>
    </row>
    <row r="40" spans="2:15" x14ac:dyDescent="0.25">
      <c r="B40" s="12">
        <v>6</v>
      </c>
      <c r="C40" s="15"/>
      <c r="D40" s="12"/>
      <c r="E40" s="15"/>
      <c r="F40" s="12"/>
      <c r="G40" s="20">
        <f t="shared" si="5"/>
        <v>0</v>
      </c>
      <c r="H40" s="12"/>
      <c r="I40" s="12" t="e">
        <f t="shared" si="6"/>
        <v>#DIV/0!</v>
      </c>
      <c r="J40" s="26"/>
      <c r="K40" s="26"/>
      <c r="L40" s="26"/>
    </row>
    <row r="41" spans="2:15" ht="15.75" thickBot="1" x14ac:dyDescent="0.3">
      <c r="B41" s="13">
        <v>7</v>
      </c>
      <c r="C41" s="17"/>
      <c r="D41" s="18"/>
      <c r="E41" s="19"/>
      <c r="F41" s="18"/>
      <c r="G41" s="56">
        <f t="shared" si="5"/>
        <v>0</v>
      </c>
      <c r="H41" s="18"/>
      <c r="I41" s="18" t="e">
        <f t="shared" si="6"/>
        <v>#DIV/0!</v>
      </c>
      <c r="J41" s="31"/>
      <c r="K41" s="31"/>
      <c r="L41" s="27"/>
    </row>
    <row r="42" spans="2:15" ht="15.75" thickBot="1" x14ac:dyDescent="0.3">
      <c r="C42" s="14" t="s">
        <v>8</v>
      </c>
      <c r="D42" s="6">
        <f>SUM(D35:D41)</f>
        <v>3</v>
      </c>
      <c r="E42" s="7">
        <f>SUM(E35:E41)</f>
        <v>4</v>
      </c>
      <c r="F42" s="7">
        <f>SUM(F35:F41)</f>
        <v>0</v>
      </c>
      <c r="G42" s="7">
        <f t="shared" si="5"/>
        <v>1</v>
      </c>
      <c r="H42" s="7"/>
      <c r="I42" s="7">
        <f t="shared" si="6"/>
        <v>0.33333333333333331</v>
      </c>
      <c r="J42" s="32"/>
      <c r="K42" s="32" t="s">
        <v>26</v>
      </c>
      <c r="L42" s="32"/>
    </row>
    <row r="44" spans="2:15" ht="15.75" thickBot="1" x14ac:dyDescent="0.3"/>
    <row r="45" spans="2:15" ht="15.75" thickBot="1" x14ac:dyDescent="0.3">
      <c r="C45" s="142" t="s">
        <v>11</v>
      </c>
      <c r="D45" s="143"/>
    </row>
    <row r="46" spans="2:15" ht="15.75" thickBot="1" x14ac:dyDescent="0.3">
      <c r="B46" s="5"/>
      <c r="C46" s="5"/>
      <c r="D46" s="5"/>
      <c r="E46" s="5"/>
      <c r="F46" s="5"/>
      <c r="G46" s="140" t="s">
        <v>2</v>
      </c>
      <c r="H46" s="141"/>
      <c r="I46" s="140" t="s">
        <v>13</v>
      </c>
      <c r="J46" s="141"/>
    </row>
    <row r="47" spans="2:15" ht="15.75" thickBot="1" x14ac:dyDescent="0.3">
      <c r="B47" s="22" t="s">
        <v>7</v>
      </c>
      <c r="C47" s="36" t="s">
        <v>5</v>
      </c>
      <c r="D47" s="120" t="s">
        <v>0</v>
      </c>
      <c r="E47" s="9" t="s">
        <v>6</v>
      </c>
      <c r="F47" s="119" t="s">
        <v>1</v>
      </c>
      <c r="G47" s="22" t="s">
        <v>17</v>
      </c>
      <c r="H47" s="119" t="s">
        <v>16</v>
      </c>
      <c r="I47" s="119" t="s">
        <v>17</v>
      </c>
      <c r="J47" s="119" t="s">
        <v>16</v>
      </c>
      <c r="K47" s="22" t="s">
        <v>14</v>
      </c>
      <c r="L47" s="36" t="s">
        <v>15</v>
      </c>
      <c r="N47" s="59"/>
      <c r="O47" s="57"/>
    </row>
    <row r="48" spans="2:15" x14ac:dyDescent="0.25">
      <c r="B48" s="47">
        <v>1</v>
      </c>
      <c r="C48" s="50" t="s">
        <v>23</v>
      </c>
      <c r="D48" s="16">
        <v>10</v>
      </c>
      <c r="E48" s="20">
        <v>50</v>
      </c>
      <c r="F48" s="1"/>
      <c r="G48" s="20">
        <f>E48-D48</f>
        <v>40</v>
      </c>
      <c r="H48" s="30"/>
      <c r="I48" s="66">
        <f>G48/D48</f>
        <v>4</v>
      </c>
      <c r="J48" s="1"/>
      <c r="K48" s="23" t="s">
        <v>19</v>
      </c>
      <c r="L48" s="26"/>
      <c r="N48" s="59"/>
      <c r="O48" s="57"/>
    </row>
    <row r="49" spans="2:15" ht="92.25" x14ac:dyDescent="0.25">
      <c r="B49" s="24">
        <v>4</v>
      </c>
      <c r="C49" s="12" t="s">
        <v>82</v>
      </c>
      <c r="D49" s="38">
        <v>5</v>
      </c>
      <c r="E49" s="15"/>
      <c r="F49" s="12"/>
      <c r="G49" s="20">
        <f t="shared" ref="G49:G53" si="7">E49-D49</f>
        <v>-5</v>
      </c>
      <c r="H49" s="12"/>
      <c r="I49" s="42">
        <f t="shared" ref="I49:I53" si="8">G49/D49</f>
        <v>-1</v>
      </c>
      <c r="J49" s="26"/>
      <c r="K49" s="76" t="s">
        <v>18</v>
      </c>
      <c r="L49" s="111" t="s">
        <v>83</v>
      </c>
    </row>
    <row r="50" spans="2:15" ht="30" x14ac:dyDescent="0.25">
      <c r="B50" s="24">
        <v>5</v>
      </c>
      <c r="C50" s="132" t="s">
        <v>41</v>
      </c>
      <c r="D50" s="38">
        <v>5</v>
      </c>
      <c r="E50" s="15">
        <v>0</v>
      </c>
      <c r="F50" s="12"/>
      <c r="G50" s="20">
        <f t="shared" si="7"/>
        <v>-5</v>
      </c>
      <c r="H50" s="12"/>
      <c r="I50" s="42">
        <f t="shared" si="8"/>
        <v>-1</v>
      </c>
      <c r="J50" s="26"/>
      <c r="K50" s="76" t="s">
        <v>18</v>
      </c>
      <c r="L50" s="26"/>
    </row>
    <row r="51" spans="2:15" x14ac:dyDescent="0.25">
      <c r="B51" s="24">
        <v>6</v>
      </c>
      <c r="C51" s="12"/>
      <c r="D51" s="38"/>
      <c r="E51" s="15"/>
      <c r="F51" s="12"/>
      <c r="G51" s="20">
        <f t="shared" si="7"/>
        <v>0</v>
      </c>
      <c r="H51" s="12"/>
      <c r="I51" s="42" t="e">
        <f t="shared" si="8"/>
        <v>#DIV/0!</v>
      </c>
      <c r="J51" s="26"/>
      <c r="K51" s="76"/>
      <c r="L51" s="26"/>
    </row>
    <row r="52" spans="2:15" ht="15.75" thickBot="1" x14ac:dyDescent="0.3">
      <c r="B52" s="48">
        <v>7</v>
      </c>
      <c r="C52" s="13"/>
      <c r="D52" s="39"/>
      <c r="E52" s="19"/>
      <c r="F52" s="18"/>
      <c r="G52" s="56">
        <f t="shared" si="7"/>
        <v>0</v>
      </c>
      <c r="H52" s="18"/>
      <c r="I52" s="42" t="e">
        <f t="shared" si="8"/>
        <v>#DIV/0!</v>
      </c>
      <c r="J52" s="31"/>
      <c r="K52" s="77"/>
      <c r="L52" s="27"/>
    </row>
    <row r="53" spans="2:15" ht="15.75" thickBot="1" x14ac:dyDescent="0.3">
      <c r="C53" s="14" t="s">
        <v>8</v>
      </c>
      <c r="D53" s="6">
        <f>SUM(D48:D52)</f>
        <v>20</v>
      </c>
      <c r="E53" s="7">
        <f>SUM(E48:E52)</f>
        <v>50</v>
      </c>
      <c r="F53" s="7">
        <f>SUM(F48:F52)</f>
        <v>0</v>
      </c>
      <c r="G53" s="7">
        <f t="shared" si="7"/>
        <v>30</v>
      </c>
      <c r="H53" s="7"/>
      <c r="I53" s="42">
        <f t="shared" si="8"/>
        <v>1.5</v>
      </c>
      <c r="J53" s="32"/>
      <c r="K53" s="32" t="s">
        <v>19</v>
      </c>
      <c r="L53" s="32"/>
    </row>
    <row r="56" spans="2:15" ht="15.75" thickBot="1" x14ac:dyDescent="0.3"/>
    <row r="57" spans="2:15" ht="15.75" thickBot="1" x14ac:dyDescent="0.3">
      <c r="C57" s="142" t="s">
        <v>12</v>
      </c>
      <c r="D57" s="143"/>
    </row>
    <row r="58" spans="2:15" ht="15.75" thickBot="1" x14ac:dyDescent="0.3">
      <c r="B58" s="5"/>
      <c r="C58" s="5"/>
      <c r="D58" s="5"/>
      <c r="E58" s="5"/>
      <c r="F58" s="5"/>
      <c r="G58" s="140" t="s">
        <v>2</v>
      </c>
      <c r="H58" s="141"/>
      <c r="I58" s="140" t="s">
        <v>13</v>
      </c>
      <c r="J58" s="141"/>
    </row>
    <row r="59" spans="2:15" ht="15.75" thickBot="1" x14ac:dyDescent="0.3">
      <c r="B59" s="22" t="s">
        <v>7</v>
      </c>
      <c r="C59" s="119" t="s">
        <v>5</v>
      </c>
      <c r="D59" s="120" t="s">
        <v>0</v>
      </c>
      <c r="E59" s="9" t="s">
        <v>6</v>
      </c>
      <c r="F59" s="119" t="s">
        <v>1</v>
      </c>
      <c r="G59" s="22" t="s">
        <v>17</v>
      </c>
      <c r="H59" s="119" t="s">
        <v>16</v>
      </c>
      <c r="I59" s="119" t="s">
        <v>17</v>
      </c>
      <c r="J59" s="120" t="s">
        <v>16</v>
      </c>
      <c r="K59" s="119" t="s">
        <v>14</v>
      </c>
      <c r="L59" s="119" t="s">
        <v>15</v>
      </c>
    </row>
    <row r="60" spans="2:15" ht="30" x14ac:dyDescent="0.25">
      <c r="B60" s="47">
        <v>1</v>
      </c>
      <c r="C60" s="67" t="s">
        <v>24</v>
      </c>
      <c r="D60" s="16">
        <v>10</v>
      </c>
      <c r="E60" s="20">
        <v>106</v>
      </c>
      <c r="F60" s="1"/>
      <c r="G60" s="20">
        <f>E60-D60</f>
        <v>96</v>
      </c>
      <c r="H60" s="30"/>
      <c r="I60" s="66">
        <f>G60/D60</f>
        <v>9.6</v>
      </c>
      <c r="J60" s="1"/>
      <c r="K60" s="1" t="s">
        <v>19</v>
      </c>
      <c r="L60" s="1"/>
      <c r="N60" s="59"/>
      <c r="O60" s="57"/>
    </row>
    <row r="61" spans="2:15" x14ac:dyDescent="0.25">
      <c r="B61" s="24">
        <v>2</v>
      </c>
      <c r="C61" s="50" t="s">
        <v>25</v>
      </c>
      <c r="D61" s="38">
        <v>10</v>
      </c>
      <c r="E61" s="15">
        <v>175</v>
      </c>
      <c r="F61" s="12"/>
      <c r="G61" s="20">
        <f t="shared" ref="G61:G66" si="9">E61-D61</f>
        <v>165</v>
      </c>
      <c r="H61" s="12"/>
      <c r="I61" s="42">
        <f t="shared" ref="I61:I66" si="10">G61/D61</f>
        <v>16.5</v>
      </c>
      <c r="J61" s="26"/>
      <c r="K61" s="26" t="s">
        <v>19</v>
      </c>
      <c r="L61" s="26"/>
      <c r="N61" s="59"/>
      <c r="O61" s="57"/>
    </row>
    <row r="62" spans="2:15" x14ac:dyDescent="0.25">
      <c r="B62" s="24">
        <v>4</v>
      </c>
      <c r="C62" s="12"/>
      <c r="D62" s="38"/>
      <c r="E62" s="15"/>
      <c r="F62" s="12"/>
      <c r="G62" s="20">
        <f t="shared" si="9"/>
        <v>0</v>
      </c>
      <c r="H62" s="12"/>
      <c r="I62" s="42" t="e">
        <f t="shared" si="10"/>
        <v>#DIV/0!</v>
      </c>
      <c r="J62" s="26"/>
      <c r="K62" s="26"/>
      <c r="L62" s="26"/>
    </row>
    <row r="63" spans="2:15" x14ac:dyDescent="0.25">
      <c r="B63" s="24">
        <v>5</v>
      </c>
      <c r="C63" s="12"/>
      <c r="D63" s="38"/>
      <c r="E63" s="15"/>
      <c r="F63" s="12"/>
      <c r="G63" s="20">
        <f t="shared" si="9"/>
        <v>0</v>
      </c>
      <c r="H63" s="12"/>
      <c r="I63" s="42" t="e">
        <f t="shared" si="10"/>
        <v>#DIV/0!</v>
      </c>
      <c r="J63" s="26"/>
      <c r="K63" s="26"/>
      <c r="L63" s="26"/>
    </row>
    <row r="64" spans="2:15" x14ac:dyDescent="0.25">
      <c r="B64" s="24">
        <v>6</v>
      </c>
      <c r="C64" s="12"/>
      <c r="D64" s="38"/>
      <c r="E64" s="15"/>
      <c r="F64" s="12"/>
      <c r="G64" s="20">
        <f t="shared" si="9"/>
        <v>0</v>
      </c>
      <c r="H64" s="12"/>
      <c r="I64" s="42" t="e">
        <f t="shared" si="10"/>
        <v>#DIV/0!</v>
      </c>
      <c r="J64" s="26"/>
      <c r="K64" s="26"/>
      <c r="L64" s="26"/>
    </row>
    <row r="65" spans="2:12" ht="15.75" thickBot="1" x14ac:dyDescent="0.3">
      <c r="B65" s="48">
        <v>7</v>
      </c>
      <c r="C65" s="13"/>
      <c r="D65" s="39"/>
      <c r="E65" s="19"/>
      <c r="F65" s="18"/>
      <c r="G65" s="20">
        <f t="shared" si="9"/>
        <v>0</v>
      </c>
      <c r="H65" s="18"/>
      <c r="I65" s="42" t="e">
        <f t="shared" si="10"/>
        <v>#DIV/0!</v>
      </c>
      <c r="J65" s="27"/>
      <c r="K65" s="27"/>
      <c r="L65" s="27"/>
    </row>
    <row r="66" spans="2:12" ht="15.75" thickBot="1" x14ac:dyDescent="0.3">
      <c r="C66" s="14" t="s">
        <v>8</v>
      </c>
      <c r="D66" s="6">
        <f>SUM(D60:D65)</f>
        <v>20</v>
      </c>
      <c r="E66" s="7">
        <f>SUM(E60:E65)</f>
        <v>281</v>
      </c>
      <c r="F66" s="7">
        <f>SUM(F60:F65)</f>
        <v>0</v>
      </c>
      <c r="G66" s="20">
        <f t="shared" si="9"/>
        <v>261</v>
      </c>
      <c r="H66" s="7"/>
      <c r="I66" s="42">
        <f t="shared" si="10"/>
        <v>13.05</v>
      </c>
      <c r="J66" s="35"/>
      <c r="K66" s="33" t="s">
        <v>19</v>
      </c>
      <c r="L66" s="34"/>
    </row>
  </sheetData>
  <mergeCells count="22">
    <mergeCell ref="G6:H6"/>
    <mergeCell ref="I6:J6"/>
    <mergeCell ref="K2:M2"/>
    <mergeCell ref="C3:G3"/>
    <mergeCell ref="K3:M3"/>
    <mergeCell ref="K4:M4"/>
    <mergeCell ref="C5:D5"/>
    <mergeCell ref="K18:M18"/>
    <mergeCell ref="K19:M19"/>
    <mergeCell ref="K20:M20"/>
    <mergeCell ref="C21:D21"/>
    <mergeCell ref="G22:H22"/>
    <mergeCell ref="I22:J22"/>
    <mergeCell ref="C57:D57"/>
    <mergeCell ref="G58:H58"/>
    <mergeCell ref="I58:J58"/>
    <mergeCell ref="C32:D32"/>
    <mergeCell ref="G33:H33"/>
    <mergeCell ref="I33:J33"/>
    <mergeCell ref="C45:D45"/>
    <mergeCell ref="G46:H46"/>
    <mergeCell ref="I46:J46"/>
  </mergeCells>
  <conditionalFormatting sqref="K8:K14">
    <cfRule type="containsText" dxfId="20" priority="7" operator="containsText" text="Green">
      <formula>NOT(ISERROR(SEARCH("Green",K8)))</formula>
    </cfRule>
  </conditionalFormatting>
  <conditionalFormatting sqref="K1:K16 K21:K1048576">
    <cfRule type="containsText" dxfId="19" priority="4" operator="containsText" text="Amber">
      <formula>NOT(ISERROR(SEARCH("Amber",K1)))</formula>
    </cfRule>
    <cfRule type="containsText" dxfId="18" priority="5" operator="containsText" text="Red">
      <formula>NOT(ISERROR(SEARCH("Red",K1)))</formula>
    </cfRule>
    <cfRule type="containsText" dxfId="17" priority="6" operator="containsText" text="Green">
      <formula>NOT(ISERROR(SEARCH("Green",K1)))</formula>
    </cfRule>
  </conditionalFormatting>
  <conditionalFormatting sqref="K17:K20">
    <cfRule type="containsText" dxfId="16" priority="1" operator="containsText" text="Amber">
      <formula>NOT(ISERROR(SEARCH("Amber",K17)))</formula>
    </cfRule>
    <cfRule type="containsText" dxfId="15" priority="2" operator="containsText" text="Red">
      <formula>NOT(ISERROR(SEARCH("Red",K17)))</formula>
    </cfRule>
    <cfRule type="containsText" dxfId="14" priority="3" operator="containsText" text="Green">
      <formula>NOT(ISERROR(SEARCH("Green",K17)))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69"/>
  <sheetViews>
    <sheetView topLeftCell="A6" workbookViewId="0">
      <selection activeCell="Q18" sqref="Q18"/>
    </sheetView>
  </sheetViews>
  <sheetFormatPr defaultRowHeight="15" x14ac:dyDescent="0.25"/>
  <cols>
    <col min="2" max="2" width="7" customWidth="1"/>
    <col min="3" max="3" width="22" customWidth="1"/>
    <col min="4" max="4" width="16.5703125" bestFit="1" customWidth="1"/>
    <col min="5" max="5" width="15.7109375" bestFit="1" customWidth="1"/>
    <col min="6" max="6" width="14.85546875" bestFit="1" customWidth="1"/>
    <col min="7" max="7" width="8.42578125" customWidth="1"/>
    <col min="8" max="8" width="9.7109375" customWidth="1"/>
    <col min="9" max="9" width="8.5703125" customWidth="1"/>
    <col min="10" max="10" width="8.85546875" customWidth="1"/>
    <col min="11" max="11" width="13.140625" customWidth="1"/>
    <col min="12" max="12" width="14" customWidth="1"/>
    <col min="13" max="13" width="12.5703125" customWidth="1"/>
    <col min="14" max="14" width="13.7109375" customWidth="1"/>
    <col min="15" max="15" width="16" customWidth="1"/>
    <col min="16" max="16" width="13.7109375" customWidth="1"/>
    <col min="17" max="17" width="16" customWidth="1"/>
    <col min="18" max="18" width="13.140625" customWidth="1"/>
    <col min="19" max="19" width="15.42578125" bestFit="1" customWidth="1"/>
    <col min="20" max="20" width="18" customWidth="1"/>
    <col min="21" max="21" width="18.5703125" customWidth="1"/>
    <col min="22" max="22" width="22.7109375" customWidth="1"/>
    <col min="23" max="23" width="22.140625" customWidth="1"/>
    <col min="24" max="24" width="15" customWidth="1"/>
    <col min="25" max="25" width="12.7109375" customWidth="1"/>
    <col min="26" max="26" width="26" customWidth="1"/>
    <col min="27" max="27" width="12.7109375" customWidth="1"/>
    <col min="28" max="28" width="6.42578125" customWidth="1"/>
    <col min="29" max="29" width="24.140625" customWidth="1"/>
    <col min="30" max="30" width="40" bestFit="1" customWidth="1"/>
    <col min="31" max="31" width="24.42578125" customWidth="1"/>
    <col min="32" max="32" width="40" bestFit="1" customWidth="1"/>
    <col min="33" max="33" width="20.7109375" customWidth="1"/>
    <col min="34" max="34" width="20.42578125" customWidth="1"/>
    <col min="35" max="35" width="12" customWidth="1"/>
    <col min="36" max="36" width="12" bestFit="1" customWidth="1"/>
  </cols>
  <sheetData>
    <row r="2" spans="2:36" ht="15.75" thickBot="1" x14ac:dyDescent="0.3">
      <c r="J2" s="72" t="s">
        <v>19</v>
      </c>
      <c r="K2" s="145" t="s">
        <v>64</v>
      </c>
      <c r="L2" s="145"/>
      <c r="M2" s="145"/>
    </row>
    <row r="3" spans="2:36" ht="15.75" thickBot="1" x14ac:dyDescent="0.3">
      <c r="C3" s="142" t="s">
        <v>3</v>
      </c>
      <c r="D3" s="144"/>
      <c r="E3" s="144"/>
      <c r="F3" s="144"/>
      <c r="G3" s="143"/>
      <c r="H3" s="21"/>
      <c r="I3" s="21"/>
      <c r="J3" s="73" t="s">
        <v>54</v>
      </c>
      <c r="K3" s="145" t="s">
        <v>65</v>
      </c>
      <c r="L3" s="145"/>
      <c r="M3" s="145"/>
      <c r="O3" s="59"/>
    </row>
    <row r="4" spans="2:36" s="4" customFormat="1" ht="15.75" thickBot="1" x14ac:dyDescent="0.3">
      <c r="C4" s="3"/>
      <c r="D4" s="3"/>
      <c r="E4" s="3"/>
      <c r="F4" s="3"/>
      <c r="G4" s="3"/>
      <c r="H4" s="3"/>
      <c r="I4" s="3"/>
      <c r="J4" s="74" t="s">
        <v>18</v>
      </c>
      <c r="K4" s="146" t="s">
        <v>62</v>
      </c>
      <c r="L4" s="146"/>
      <c r="M4" s="146"/>
      <c r="O4" s="59"/>
    </row>
    <row r="5" spans="2:36" ht="15.75" thickBot="1" x14ac:dyDescent="0.3">
      <c r="C5" s="142" t="s">
        <v>4</v>
      </c>
      <c r="D5" s="143"/>
      <c r="O5" s="59"/>
    </row>
    <row r="6" spans="2:36" s="5" customFormat="1" ht="15.75" thickBot="1" x14ac:dyDescent="0.3">
      <c r="G6" s="140" t="s">
        <v>2</v>
      </c>
      <c r="H6" s="141"/>
      <c r="I6" s="140" t="s">
        <v>13</v>
      </c>
      <c r="J6" s="141"/>
      <c r="M6"/>
      <c r="N6" s="57"/>
      <c r="O6"/>
      <c r="P6"/>
      <c r="Q6"/>
      <c r="R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2:36" ht="15.75" thickBot="1" x14ac:dyDescent="0.3">
      <c r="B7" s="36" t="s">
        <v>7</v>
      </c>
      <c r="C7" s="130" t="s">
        <v>5</v>
      </c>
      <c r="D7" s="131" t="s">
        <v>0</v>
      </c>
      <c r="E7" s="9" t="s">
        <v>6</v>
      </c>
      <c r="F7" s="22" t="s">
        <v>1</v>
      </c>
      <c r="G7" s="130" t="s">
        <v>17</v>
      </c>
      <c r="H7" s="130" t="s">
        <v>16</v>
      </c>
      <c r="I7" s="130" t="s">
        <v>17</v>
      </c>
      <c r="J7" s="130" t="s">
        <v>16</v>
      </c>
      <c r="K7" s="130" t="s">
        <v>14</v>
      </c>
      <c r="L7" s="130" t="s">
        <v>15</v>
      </c>
      <c r="N7" s="57"/>
      <c r="O7" s="94" t="s">
        <v>70</v>
      </c>
      <c r="P7" s="95" t="s">
        <v>5</v>
      </c>
      <c r="Q7" s="95" t="s">
        <v>72</v>
      </c>
      <c r="R7" s="4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</row>
    <row r="8" spans="2:36" ht="30" x14ac:dyDescent="0.25">
      <c r="B8" s="98">
        <v>1</v>
      </c>
      <c r="C8" s="105" t="s">
        <v>20</v>
      </c>
      <c r="D8" s="106">
        <v>7</v>
      </c>
      <c r="E8" s="107">
        <v>53</v>
      </c>
      <c r="F8" s="108"/>
      <c r="G8" s="109">
        <f>E8-D8</f>
        <v>46</v>
      </c>
      <c r="H8" s="109"/>
      <c r="I8" s="110">
        <f>G8/D8</f>
        <v>6.5714285714285712</v>
      </c>
      <c r="J8" s="105"/>
      <c r="K8" s="105" t="s">
        <v>19</v>
      </c>
      <c r="L8" s="105" t="s">
        <v>60</v>
      </c>
      <c r="N8" s="57"/>
      <c r="O8" s="87" t="s">
        <v>71</v>
      </c>
      <c r="P8" s="88" t="s">
        <v>21</v>
      </c>
      <c r="Q8" s="89">
        <f>$I$9</f>
        <v>3.1</v>
      </c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</row>
    <row r="9" spans="2:36" ht="48" customHeight="1" x14ac:dyDescent="0.25">
      <c r="B9" s="12">
        <v>2</v>
      </c>
      <c r="C9" s="50" t="s">
        <v>21</v>
      </c>
      <c r="D9" s="38">
        <v>10</v>
      </c>
      <c r="E9" s="15">
        <v>41</v>
      </c>
      <c r="F9" s="24"/>
      <c r="G9" s="12">
        <f t="shared" ref="G9:G15" si="0">E9-D9</f>
        <v>31</v>
      </c>
      <c r="H9" s="12"/>
      <c r="I9" s="42">
        <f t="shared" ref="I9:I12" si="1">G9/D9</f>
        <v>3.1</v>
      </c>
      <c r="J9" s="26"/>
      <c r="K9" s="26" t="s">
        <v>19</v>
      </c>
      <c r="L9" s="26"/>
      <c r="M9" s="4"/>
      <c r="O9" s="87" t="s">
        <v>71</v>
      </c>
      <c r="P9" s="88" t="s">
        <v>90</v>
      </c>
      <c r="Q9" s="93">
        <f>$I$11</f>
        <v>-0.25</v>
      </c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</row>
    <row r="10" spans="2:36" ht="30" x14ac:dyDescent="0.25">
      <c r="B10" s="98">
        <v>3</v>
      </c>
      <c r="C10" s="99" t="s">
        <v>28</v>
      </c>
      <c r="D10" s="100">
        <v>24</v>
      </c>
      <c r="E10" s="101">
        <v>49</v>
      </c>
      <c r="F10" s="102"/>
      <c r="G10" s="98">
        <f t="shared" si="0"/>
        <v>25</v>
      </c>
      <c r="H10" s="98"/>
      <c r="I10" s="103">
        <f t="shared" si="1"/>
        <v>1.0416666666666667</v>
      </c>
      <c r="J10" s="104"/>
      <c r="K10" s="104" t="s">
        <v>19</v>
      </c>
      <c r="L10" s="105" t="s">
        <v>60</v>
      </c>
      <c r="O10" s="87" t="s">
        <v>73</v>
      </c>
      <c r="P10" s="63" t="s">
        <v>22</v>
      </c>
      <c r="Q10" s="93">
        <f>$I$24</f>
        <v>-0.35</v>
      </c>
      <c r="R10" s="59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</row>
    <row r="11" spans="2:36" x14ac:dyDescent="0.25">
      <c r="B11" s="24">
        <v>4</v>
      </c>
      <c r="C11" s="92" t="s">
        <v>90</v>
      </c>
      <c r="D11" s="122">
        <v>20</v>
      </c>
      <c r="E11" s="122">
        <v>15</v>
      </c>
      <c r="F11" s="15"/>
      <c r="G11" s="12">
        <f t="shared" si="0"/>
        <v>-5</v>
      </c>
      <c r="H11" s="12"/>
      <c r="I11" s="42">
        <f t="shared" si="1"/>
        <v>-0.25</v>
      </c>
      <c r="J11" s="26"/>
      <c r="K11" s="26" t="s">
        <v>18</v>
      </c>
      <c r="L11" s="26"/>
      <c r="O11" s="87" t="s">
        <v>73</v>
      </c>
      <c r="P11" s="88" t="s">
        <v>92</v>
      </c>
      <c r="Q11" s="93">
        <f>$I$25</f>
        <v>-0.5</v>
      </c>
      <c r="R11" s="59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</row>
    <row r="12" spans="2:36" ht="15.75" thickBot="1" x14ac:dyDescent="0.3">
      <c r="B12" s="13">
        <v>5</v>
      </c>
      <c r="C12" s="13"/>
      <c r="D12" s="39"/>
      <c r="E12" s="19"/>
      <c r="F12" s="25"/>
      <c r="G12" s="18">
        <f t="shared" si="0"/>
        <v>0</v>
      </c>
      <c r="H12" s="18"/>
      <c r="I12" s="54" t="e">
        <f t="shared" si="1"/>
        <v>#DIV/0!</v>
      </c>
      <c r="J12" s="31"/>
      <c r="K12" s="31"/>
      <c r="L12" s="27"/>
      <c r="O12" s="87" t="s">
        <v>73</v>
      </c>
      <c r="P12" s="88" t="s">
        <v>40</v>
      </c>
      <c r="Q12" s="93">
        <f>I26</f>
        <v>-3.6363636363636362E-2</v>
      </c>
      <c r="R12" s="59"/>
    </row>
    <row r="13" spans="2:36" ht="15.75" thickBot="1" x14ac:dyDescent="0.3">
      <c r="B13" s="56"/>
      <c r="C13" s="112"/>
      <c r="D13" s="56"/>
      <c r="E13" s="56"/>
      <c r="F13" s="113"/>
      <c r="G13" s="53"/>
      <c r="H13" s="53"/>
      <c r="I13" s="114"/>
      <c r="J13" s="115"/>
      <c r="K13" s="115"/>
      <c r="L13" s="116"/>
      <c r="O13" s="125" t="s">
        <v>73</v>
      </c>
      <c r="P13" s="88" t="s">
        <v>86</v>
      </c>
      <c r="Q13" s="127">
        <v>0</v>
      </c>
      <c r="R13" s="59"/>
    </row>
    <row r="14" spans="2:36" ht="15.75" thickBot="1" x14ac:dyDescent="0.3">
      <c r="B14" s="56"/>
      <c r="C14" s="112"/>
      <c r="D14" s="56"/>
      <c r="E14" s="56"/>
      <c r="F14" s="113"/>
      <c r="G14" s="53"/>
      <c r="H14" s="53"/>
      <c r="I14" s="114"/>
      <c r="J14" s="115"/>
      <c r="K14" s="115"/>
      <c r="L14" s="116"/>
      <c r="O14" s="125" t="s">
        <v>73</v>
      </c>
      <c r="P14" s="88" t="s">
        <v>93</v>
      </c>
      <c r="Q14" s="127"/>
      <c r="R14" s="59"/>
    </row>
    <row r="15" spans="2:36" ht="30.75" thickBot="1" x14ac:dyDescent="0.3">
      <c r="C15" s="14" t="s">
        <v>8</v>
      </c>
      <c r="D15" s="6">
        <f>SUM(D8:D12)</f>
        <v>61</v>
      </c>
      <c r="E15" s="7">
        <f>SUM(E8:E12)</f>
        <v>158</v>
      </c>
      <c r="F15" s="6">
        <f>SUM(F8:F12)</f>
        <v>0</v>
      </c>
      <c r="G15" s="7">
        <f t="shared" si="0"/>
        <v>97</v>
      </c>
      <c r="H15" s="7"/>
      <c r="I15" s="55">
        <f>G15/D15</f>
        <v>1.5901639344262295</v>
      </c>
      <c r="J15" s="32"/>
      <c r="K15" s="32" t="s">
        <v>19</v>
      </c>
      <c r="L15" s="32"/>
      <c r="O15" s="126" t="s">
        <v>77</v>
      </c>
      <c r="P15" s="40" t="s">
        <v>29</v>
      </c>
      <c r="Q15" s="128"/>
      <c r="R15" s="59"/>
    </row>
    <row r="16" spans="2:36" ht="30" x14ac:dyDescent="0.25">
      <c r="C16" s="81"/>
      <c r="D16" s="56"/>
      <c r="E16" s="56"/>
      <c r="F16" s="56"/>
      <c r="G16" s="56"/>
      <c r="H16" s="56"/>
      <c r="I16" s="82"/>
      <c r="J16" s="83"/>
      <c r="K16" s="83"/>
      <c r="L16" s="83"/>
      <c r="O16" s="126" t="s">
        <v>77</v>
      </c>
      <c r="P16" s="88" t="s">
        <v>23</v>
      </c>
      <c r="Q16" s="128">
        <f>$I$48</f>
        <v>4.5</v>
      </c>
      <c r="R16" s="59"/>
    </row>
    <row r="17" spans="2:17" x14ac:dyDescent="0.25">
      <c r="C17" s="81"/>
      <c r="D17" s="56"/>
      <c r="E17" s="56"/>
      <c r="F17" s="56"/>
      <c r="G17" s="56"/>
      <c r="H17" s="56"/>
      <c r="O17" s="126" t="s">
        <v>77</v>
      </c>
      <c r="P17" s="122" t="s">
        <v>82</v>
      </c>
      <c r="Q17" s="128">
        <f>$I$49</f>
        <v>5</v>
      </c>
    </row>
    <row r="18" spans="2:17" x14ac:dyDescent="0.25">
      <c r="C18" s="81"/>
      <c r="D18" s="56"/>
      <c r="E18" s="56"/>
      <c r="F18" s="56"/>
      <c r="G18" s="56"/>
      <c r="H18" s="56"/>
      <c r="J18" s="72" t="s">
        <v>19</v>
      </c>
      <c r="K18" s="145" t="s">
        <v>67</v>
      </c>
      <c r="L18" s="145"/>
      <c r="M18" s="145"/>
      <c r="O18" s="126" t="s">
        <v>77</v>
      </c>
      <c r="P18" s="129" t="s">
        <v>94</v>
      </c>
      <c r="Q18" s="128">
        <f>$I$52</f>
        <v>-0.5</v>
      </c>
    </row>
    <row r="19" spans="2:17" x14ac:dyDescent="0.25">
      <c r="I19" s="21"/>
      <c r="J19" s="73" t="s">
        <v>54</v>
      </c>
      <c r="K19" s="145" t="s">
        <v>66</v>
      </c>
      <c r="L19" s="145"/>
      <c r="M19" s="145"/>
      <c r="O19" s="125" t="s">
        <v>76</v>
      </c>
      <c r="P19" s="88" t="s">
        <v>89</v>
      </c>
      <c r="Q19" s="128">
        <f>$I$63</f>
        <v>10.1</v>
      </c>
    </row>
    <row r="20" spans="2:17" ht="30.75" thickBot="1" x14ac:dyDescent="0.3">
      <c r="I20" s="3"/>
      <c r="J20" s="74" t="s">
        <v>18</v>
      </c>
      <c r="K20" s="146" t="s">
        <v>62</v>
      </c>
      <c r="L20" s="146"/>
      <c r="M20" s="146"/>
      <c r="O20" s="87" t="s">
        <v>76</v>
      </c>
      <c r="P20" s="88" t="s">
        <v>25</v>
      </c>
      <c r="Q20" s="89">
        <f>I64</f>
        <v>17</v>
      </c>
    </row>
    <row r="21" spans="2:17" ht="15.75" thickBot="1" x14ac:dyDescent="0.3">
      <c r="C21" s="142" t="s">
        <v>9</v>
      </c>
      <c r="D21" s="143"/>
      <c r="O21" s="87" t="s">
        <v>76</v>
      </c>
      <c r="P21" s="117" t="s">
        <v>96</v>
      </c>
      <c r="Q21" s="89">
        <f>$I$65</f>
        <v>2.25</v>
      </c>
    </row>
    <row r="22" spans="2:17" ht="15.75" thickBot="1" x14ac:dyDescent="0.3">
      <c r="B22" s="5"/>
      <c r="C22" s="5"/>
      <c r="D22" s="5"/>
      <c r="E22" s="5"/>
      <c r="F22" s="5"/>
      <c r="G22" s="140" t="s">
        <v>2</v>
      </c>
      <c r="H22" s="141"/>
      <c r="I22" s="140" t="s">
        <v>13</v>
      </c>
      <c r="J22" s="141"/>
      <c r="O22" s="83"/>
      <c r="P22" s="123"/>
      <c r="Q22" s="124"/>
    </row>
    <row r="23" spans="2:17" ht="15.75" thickBot="1" x14ac:dyDescent="0.3">
      <c r="B23" s="22" t="s">
        <v>7</v>
      </c>
      <c r="C23" s="130" t="s">
        <v>5</v>
      </c>
      <c r="D23" s="131" t="s">
        <v>0</v>
      </c>
      <c r="E23" s="9" t="s">
        <v>6</v>
      </c>
      <c r="F23" s="130" t="s">
        <v>1</v>
      </c>
      <c r="G23" s="130" t="s">
        <v>17</v>
      </c>
      <c r="H23" s="130" t="s">
        <v>16</v>
      </c>
      <c r="I23" s="130" t="s">
        <v>17</v>
      </c>
      <c r="J23" s="130" t="s">
        <v>16</v>
      </c>
      <c r="K23" s="22" t="s">
        <v>14</v>
      </c>
      <c r="L23" s="36" t="s">
        <v>15</v>
      </c>
    </row>
    <row r="24" spans="2:17" x14ac:dyDescent="0.25">
      <c r="B24" s="62">
        <v>1</v>
      </c>
      <c r="C24" s="63" t="s">
        <v>22</v>
      </c>
      <c r="D24" s="16">
        <v>60</v>
      </c>
      <c r="E24" s="20">
        <v>39</v>
      </c>
      <c r="F24" s="1"/>
      <c r="G24" s="30">
        <f>E24-D24</f>
        <v>-21</v>
      </c>
      <c r="H24" s="30"/>
      <c r="I24" s="64">
        <f>G24/D24</f>
        <v>-0.35</v>
      </c>
      <c r="J24" s="1"/>
      <c r="K24" s="23" t="s">
        <v>18</v>
      </c>
      <c r="L24" s="75"/>
    </row>
    <row r="25" spans="2:17" ht="60" x14ac:dyDescent="0.25">
      <c r="B25" s="24">
        <v>4</v>
      </c>
      <c r="C25" s="40" t="s">
        <v>91</v>
      </c>
      <c r="D25" s="38">
        <v>20</v>
      </c>
      <c r="E25" s="15">
        <v>10</v>
      </c>
      <c r="F25" s="12"/>
      <c r="G25" s="30">
        <f t="shared" ref="G25:G29" si="2">E25-D25</f>
        <v>-10</v>
      </c>
      <c r="H25" s="12"/>
      <c r="I25" s="41">
        <f t="shared" ref="I25:I29" si="3">G25/D25</f>
        <v>-0.5</v>
      </c>
      <c r="J25" s="26"/>
      <c r="K25" s="76" t="s">
        <v>18</v>
      </c>
      <c r="L25" s="40" t="s">
        <v>32</v>
      </c>
    </row>
    <row r="26" spans="2:17" ht="120" x14ac:dyDescent="0.25">
      <c r="B26" s="24">
        <v>5</v>
      </c>
      <c r="C26" s="40" t="s">
        <v>40</v>
      </c>
      <c r="D26" s="38">
        <v>55</v>
      </c>
      <c r="E26" s="15">
        <v>53</v>
      </c>
      <c r="F26" s="12"/>
      <c r="G26" s="30">
        <f t="shared" si="2"/>
        <v>-2</v>
      </c>
      <c r="H26" s="12"/>
      <c r="I26" s="41">
        <f t="shared" si="3"/>
        <v>-3.6363636363636362E-2</v>
      </c>
      <c r="J26" s="26"/>
      <c r="K26" s="76" t="s">
        <v>18</v>
      </c>
      <c r="L26" s="138" t="s">
        <v>80</v>
      </c>
    </row>
    <row r="27" spans="2:17" ht="90" x14ac:dyDescent="0.25">
      <c r="B27" s="24">
        <v>6</v>
      </c>
      <c r="C27" s="40" t="s">
        <v>41</v>
      </c>
      <c r="D27" s="38">
        <v>45</v>
      </c>
      <c r="E27" s="15">
        <v>45</v>
      </c>
      <c r="F27" s="12"/>
      <c r="G27" s="30">
        <f t="shared" si="2"/>
        <v>0</v>
      </c>
      <c r="H27" s="12"/>
      <c r="I27" s="41">
        <f t="shared" si="3"/>
        <v>0</v>
      </c>
      <c r="J27" s="26"/>
      <c r="K27" s="76" t="s">
        <v>18</v>
      </c>
      <c r="L27" s="138" t="s">
        <v>81</v>
      </c>
    </row>
    <row r="28" spans="2:17" ht="15.75" thickBot="1" x14ac:dyDescent="0.3">
      <c r="B28" s="48">
        <v>7</v>
      </c>
      <c r="C28" s="13" t="s">
        <v>93</v>
      </c>
      <c r="D28" s="39"/>
      <c r="E28" s="19"/>
      <c r="F28" s="18"/>
      <c r="G28" s="53">
        <f t="shared" si="2"/>
        <v>0</v>
      </c>
      <c r="H28" s="18"/>
      <c r="I28" s="51" t="e">
        <f t="shared" si="3"/>
        <v>#DIV/0!</v>
      </c>
      <c r="J28" s="31"/>
      <c r="K28" s="77"/>
      <c r="L28" s="139"/>
    </row>
    <row r="29" spans="2:17" ht="15.75" thickBot="1" x14ac:dyDescent="0.3">
      <c r="C29" s="49" t="s">
        <v>8</v>
      </c>
      <c r="D29" s="6">
        <f>SUM(D24:D28)</f>
        <v>180</v>
      </c>
      <c r="E29" s="7">
        <f>SUM(E24:E28)</f>
        <v>147</v>
      </c>
      <c r="F29" s="7">
        <f>SUM(F24:F28)</f>
        <v>0</v>
      </c>
      <c r="G29" s="7">
        <f t="shared" si="2"/>
        <v>-33</v>
      </c>
      <c r="H29" s="7"/>
      <c r="I29" s="52">
        <f t="shared" si="3"/>
        <v>-0.18333333333333332</v>
      </c>
      <c r="J29" s="32"/>
      <c r="K29" s="32" t="s">
        <v>18</v>
      </c>
      <c r="L29" s="116"/>
    </row>
    <row r="31" spans="2:17" ht="15.75" thickBot="1" x14ac:dyDescent="0.3"/>
    <row r="32" spans="2:17" ht="15.75" thickBot="1" x14ac:dyDescent="0.3">
      <c r="C32" s="142" t="s">
        <v>10</v>
      </c>
      <c r="D32" s="143"/>
    </row>
    <row r="33" spans="2:15" ht="15.75" thickBot="1" x14ac:dyDescent="0.3">
      <c r="B33" s="5"/>
      <c r="C33" s="5"/>
      <c r="D33" s="5"/>
      <c r="E33" s="5"/>
      <c r="F33" s="5"/>
      <c r="G33" s="140" t="s">
        <v>2</v>
      </c>
      <c r="H33" s="141"/>
      <c r="I33" s="140" t="s">
        <v>13</v>
      </c>
      <c r="J33" s="141"/>
    </row>
    <row r="34" spans="2:15" ht="15.75" thickBot="1" x14ac:dyDescent="0.3">
      <c r="B34" s="130" t="s">
        <v>7</v>
      </c>
      <c r="C34" s="9" t="s">
        <v>5</v>
      </c>
      <c r="D34" s="130" t="s">
        <v>0</v>
      </c>
      <c r="E34" s="9" t="s">
        <v>6</v>
      </c>
      <c r="F34" s="130" t="s">
        <v>1</v>
      </c>
      <c r="G34" s="22" t="s">
        <v>17</v>
      </c>
      <c r="H34" s="130" t="s">
        <v>16</v>
      </c>
      <c r="I34" s="130" t="s">
        <v>17</v>
      </c>
      <c r="J34" s="130" t="s">
        <v>16</v>
      </c>
      <c r="K34" s="130" t="s">
        <v>14</v>
      </c>
      <c r="L34" s="130" t="s">
        <v>15</v>
      </c>
      <c r="N34" s="59"/>
      <c r="O34" s="57"/>
    </row>
    <row r="35" spans="2:15" x14ac:dyDescent="0.25">
      <c r="B35" s="11">
        <v>1</v>
      </c>
      <c r="C35" s="121"/>
      <c r="D35" s="1"/>
      <c r="E35" s="2"/>
      <c r="F35" s="1"/>
      <c r="G35" s="20">
        <f>E35-D35</f>
        <v>0</v>
      </c>
      <c r="H35" s="30"/>
      <c r="I35" s="64" t="e">
        <f>G35/D35</f>
        <v>#DIV/0!</v>
      </c>
      <c r="J35" s="1"/>
      <c r="K35" s="1"/>
      <c r="L35" s="78"/>
      <c r="N35" s="59"/>
      <c r="O35" s="57"/>
    </row>
    <row r="36" spans="2:15" x14ac:dyDescent="0.25">
      <c r="B36" s="12">
        <v>2</v>
      </c>
      <c r="C36" s="15"/>
      <c r="D36" s="12"/>
      <c r="E36" s="15"/>
      <c r="F36" s="12"/>
      <c r="G36" s="20">
        <f t="shared" ref="G36:G42" si="4">E36-D36</f>
        <v>0</v>
      </c>
      <c r="H36" s="12"/>
      <c r="I36" s="12" t="e">
        <f t="shared" ref="I36:I42" si="5">G36/D36</f>
        <v>#DIV/0!</v>
      </c>
      <c r="J36" s="26"/>
      <c r="K36" s="26"/>
      <c r="L36" s="26"/>
      <c r="N36" s="59"/>
      <c r="O36" s="57"/>
    </row>
    <row r="37" spans="2:15" x14ac:dyDescent="0.25">
      <c r="B37" s="12">
        <v>3</v>
      </c>
      <c r="C37" s="15"/>
      <c r="D37" s="12"/>
      <c r="E37" s="15"/>
      <c r="F37" s="12"/>
      <c r="G37" s="20">
        <f t="shared" si="4"/>
        <v>0</v>
      </c>
      <c r="H37" s="12"/>
      <c r="I37" s="12" t="e">
        <f t="shared" si="5"/>
        <v>#DIV/0!</v>
      </c>
      <c r="J37" s="26"/>
      <c r="K37" s="26"/>
      <c r="L37" s="26"/>
    </row>
    <row r="38" spans="2:15" x14ac:dyDescent="0.25">
      <c r="B38" s="12">
        <v>4</v>
      </c>
      <c r="C38" s="15"/>
      <c r="D38" s="12"/>
      <c r="E38" s="15"/>
      <c r="F38" s="12"/>
      <c r="G38" s="20">
        <f t="shared" si="4"/>
        <v>0</v>
      </c>
      <c r="H38" s="12"/>
      <c r="I38" s="12" t="e">
        <f t="shared" si="5"/>
        <v>#DIV/0!</v>
      </c>
      <c r="J38" s="26"/>
      <c r="K38" s="26"/>
      <c r="L38" s="26"/>
    </row>
    <row r="39" spans="2:15" x14ac:dyDescent="0.25">
      <c r="B39" s="12">
        <v>5</v>
      </c>
      <c r="C39" s="15"/>
      <c r="D39" s="12"/>
      <c r="E39" s="15"/>
      <c r="F39" s="12"/>
      <c r="G39" s="20">
        <f t="shared" si="4"/>
        <v>0</v>
      </c>
      <c r="H39" s="12"/>
      <c r="I39" s="12" t="e">
        <f t="shared" si="5"/>
        <v>#DIV/0!</v>
      </c>
      <c r="J39" s="26"/>
      <c r="K39" s="26"/>
      <c r="L39" s="26"/>
    </row>
    <row r="40" spans="2:15" x14ac:dyDescent="0.25">
      <c r="B40" s="12">
        <v>6</v>
      </c>
      <c r="C40" s="15"/>
      <c r="D40" s="12"/>
      <c r="E40" s="15"/>
      <c r="F40" s="12"/>
      <c r="G40" s="20">
        <f t="shared" si="4"/>
        <v>0</v>
      </c>
      <c r="H40" s="12"/>
      <c r="I40" s="12" t="e">
        <f t="shared" si="5"/>
        <v>#DIV/0!</v>
      </c>
      <c r="J40" s="26"/>
      <c r="K40" s="26"/>
      <c r="L40" s="26"/>
    </row>
    <row r="41" spans="2:15" ht="15.75" thickBot="1" x14ac:dyDescent="0.3">
      <c r="B41" s="13">
        <v>7</v>
      </c>
      <c r="C41" s="17"/>
      <c r="D41" s="18"/>
      <c r="E41" s="19"/>
      <c r="F41" s="18"/>
      <c r="G41" s="56">
        <f t="shared" si="4"/>
        <v>0</v>
      </c>
      <c r="H41" s="18"/>
      <c r="I41" s="18" t="e">
        <f t="shared" si="5"/>
        <v>#DIV/0!</v>
      </c>
      <c r="J41" s="31"/>
      <c r="K41" s="31"/>
      <c r="L41" s="27"/>
    </row>
    <row r="42" spans="2:15" ht="15.75" thickBot="1" x14ac:dyDescent="0.3">
      <c r="C42" s="14" t="s">
        <v>8</v>
      </c>
      <c r="D42" s="6">
        <f>SUM(D35:D41)</f>
        <v>0</v>
      </c>
      <c r="E42" s="7">
        <f>SUM(E35:E41)</f>
        <v>0</v>
      </c>
      <c r="F42" s="7">
        <f>SUM(F35:F41)</f>
        <v>0</v>
      </c>
      <c r="G42" s="7">
        <f t="shared" si="4"/>
        <v>0</v>
      </c>
      <c r="H42" s="7"/>
      <c r="I42" s="7" t="e">
        <f t="shared" si="5"/>
        <v>#DIV/0!</v>
      </c>
      <c r="J42" s="32"/>
      <c r="K42" s="32" t="s">
        <v>26</v>
      </c>
      <c r="L42" s="32"/>
    </row>
    <row r="44" spans="2:15" ht="15.75" thickBot="1" x14ac:dyDescent="0.3"/>
    <row r="45" spans="2:15" ht="15.75" thickBot="1" x14ac:dyDescent="0.3">
      <c r="C45" s="142" t="s">
        <v>11</v>
      </c>
      <c r="D45" s="143"/>
    </row>
    <row r="46" spans="2:15" ht="15.75" thickBot="1" x14ac:dyDescent="0.3">
      <c r="B46" s="5"/>
      <c r="C46" s="5"/>
      <c r="D46" s="5"/>
      <c r="E46" s="5"/>
      <c r="F46" s="5"/>
      <c r="G46" s="140" t="s">
        <v>2</v>
      </c>
      <c r="H46" s="141"/>
      <c r="I46" s="140" t="s">
        <v>13</v>
      </c>
      <c r="J46" s="141"/>
    </row>
    <row r="47" spans="2:15" ht="15.75" thickBot="1" x14ac:dyDescent="0.3">
      <c r="B47" s="22" t="s">
        <v>7</v>
      </c>
      <c r="C47" s="136" t="s">
        <v>5</v>
      </c>
      <c r="D47" s="131" t="s">
        <v>0</v>
      </c>
      <c r="E47" s="9" t="s">
        <v>6</v>
      </c>
      <c r="F47" s="130" t="s">
        <v>1</v>
      </c>
      <c r="G47" s="22" t="s">
        <v>17</v>
      </c>
      <c r="H47" s="130" t="s">
        <v>16</v>
      </c>
      <c r="I47" s="130" t="s">
        <v>17</v>
      </c>
      <c r="J47" s="130" t="s">
        <v>16</v>
      </c>
      <c r="K47" s="22" t="s">
        <v>14</v>
      </c>
      <c r="L47" s="36" t="s">
        <v>15</v>
      </c>
      <c r="N47" s="59"/>
      <c r="O47" s="57"/>
    </row>
    <row r="48" spans="2:15" x14ac:dyDescent="0.25">
      <c r="B48" s="47">
        <v>1</v>
      </c>
      <c r="C48" s="50" t="s">
        <v>23</v>
      </c>
      <c r="D48" s="16">
        <v>10</v>
      </c>
      <c r="E48" s="20">
        <v>55</v>
      </c>
      <c r="F48" s="1"/>
      <c r="G48" s="20">
        <f>E48-D48</f>
        <v>45</v>
      </c>
      <c r="H48" s="30"/>
      <c r="I48" s="66">
        <f>G48/D48</f>
        <v>4.5</v>
      </c>
      <c r="J48" s="1"/>
      <c r="K48" s="23" t="s">
        <v>19</v>
      </c>
      <c r="L48" s="26"/>
      <c r="N48" s="59"/>
      <c r="O48" s="57"/>
    </row>
    <row r="49" spans="2:15" ht="92.25" x14ac:dyDescent="0.25">
      <c r="B49" s="24">
        <v>4</v>
      </c>
      <c r="C49" s="12" t="s">
        <v>82</v>
      </c>
      <c r="D49" s="38">
        <v>2</v>
      </c>
      <c r="E49" s="15">
        <v>12</v>
      </c>
      <c r="F49" s="12"/>
      <c r="G49" s="20">
        <f t="shared" ref="G49:G56" si="6">E49-D49</f>
        <v>10</v>
      </c>
      <c r="H49" s="12"/>
      <c r="I49" s="42">
        <f t="shared" ref="I49:I56" si="7">G49/D49</f>
        <v>5</v>
      </c>
      <c r="J49" s="26"/>
      <c r="K49" s="76"/>
      <c r="L49" s="111" t="s">
        <v>83</v>
      </c>
    </row>
    <row r="50" spans="2:15" ht="30" x14ac:dyDescent="0.25">
      <c r="B50" s="24">
        <v>5</v>
      </c>
      <c r="C50" s="137" t="s">
        <v>97</v>
      </c>
      <c r="D50" s="38">
        <v>3</v>
      </c>
      <c r="E50" s="15">
        <v>2</v>
      </c>
      <c r="F50" s="12"/>
      <c r="G50" s="20">
        <f t="shared" si="6"/>
        <v>-1</v>
      </c>
      <c r="H50" s="12"/>
      <c r="I50" s="42">
        <f t="shared" si="7"/>
        <v>-0.33333333333333331</v>
      </c>
      <c r="J50" s="26"/>
      <c r="K50" s="76" t="s">
        <v>18</v>
      </c>
      <c r="L50" s="26"/>
    </row>
    <row r="51" spans="2:15" x14ac:dyDescent="0.25">
      <c r="B51" s="24">
        <v>6</v>
      </c>
      <c r="C51" s="50" t="s">
        <v>29</v>
      </c>
      <c r="D51" s="38">
        <v>5</v>
      </c>
      <c r="E51" s="15"/>
      <c r="F51" s="12"/>
      <c r="G51" s="20">
        <f t="shared" si="6"/>
        <v>-5</v>
      </c>
      <c r="H51" s="12"/>
      <c r="I51" s="42">
        <f t="shared" si="7"/>
        <v>-1</v>
      </c>
      <c r="J51" s="26"/>
      <c r="K51" s="76" t="s">
        <v>18</v>
      </c>
      <c r="L51" s="26"/>
    </row>
    <row r="52" spans="2:15" ht="30" x14ac:dyDescent="0.25">
      <c r="B52" s="24">
        <v>7</v>
      </c>
      <c r="C52" s="137" t="s">
        <v>98</v>
      </c>
      <c r="D52" s="38">
        <v>4</v>
      </c>
      <c r="E52" s="15">
        <v>2</v>
      </c>
      <c r="F52" s="12"/>
      <c r="G52" s="20">
        <f t="shared" si="6"/>
        <v>-2</v>
      </c>
      <c r="H52" s="12"/>
      <c r="I52" s="42">
        <f t="shared" si="7"/>
        <v>-0.5</v>
      </c>
      <c r="J52" s="26"/>
      <c r="K52" s="76" t="s">
        <v>18</v>
      </c>
      <c r="L52" s="26"/>
    </row>
    <row r="53" spans="2:15" x14ac:dyDescent="0.25">
      <c r="B53" s="24">
        <v>8</v>
      </c>
      <c r="C53" s="26"/>
      <c r="D53" s="38"/>
      <c r="E53" s="15"/>
      <c r="F53" s="12"/>
      <c r="G53" s="20">
        <f t="shared" si="6"/>
        <v>0</v>
      </c>
      <c r="H53" s="12"/>
      <c r="I53" s="42" t="e">
        <f t="shared" si="7"/>
        <v>#DIV/0!</v>
      </c>
      <c r="J53" s="26"/>
      <c r="K53" s="76"/>
      <c r="L53" s="26"/>
    </row>
    <row r="54" spans="2:15" x14ac:dyDescent="0.25">
      <c r="B54" s="24">
        <v>9</v>
      </c>
      <c r="C54" s="12"/>
      <c r="D54" s="38"/>
      <c r="E54" s="15"/>
      <c r="F54" s="12"/>
      <c r="G54" s="20">
        <f t="shared" si="6"/>
        <v>0</v>
      </c>
      <c r="H54" s="12"/>
      <c r="I54" s="42" t="e">
        <f t="shared" si="7"/>
        <v>#DIV/0!</v>
      </c>
      <c r="J54" s="26"/>
      <c r="K54" s="76"/>
      <c r="L54" s="26"/>
    </row>
    <row r="55" spans="2:15" ht="15.75" thickBot="1" x14ac:dyDescent="0.3">
      <c r="B55" s="48">
        <v>10</v>
      </c>
      <c r="C55" s="18"/>
      <c r="D55" s="39"/>
      <c r="E55" s="19"/>
      <c r="F55" s="18"/>
      <c r="G55" s="20">
        <f t="shared" si="6"/>
        <v>0</v>
      </c>
      <c r="H55" s="18"/>
      <c r="I55" s="42" t="e">
        <f t="shared" si="7"/>
        <v>#DIV/0!</v>
      </c>
      <c r="J55" s="31"/>
      <c r="K55" s="77"/>
      <c r="L55" s="27"/>
    </row>
    <row r="56" spans="2:15" ht="15.75" thickBot="1" x14ac:dyDescent="0.3">
      <c r="C56" s="14" t="s">
        <v>8</v>
      </c>
      <c r="D56" s="135">
        <f>SUM(D48:D55)</f>
        <v>24</v>
      </c>
      <c r="E56" s="7">
        <f>SUM(E48:E55)</f>
        <v>71</v>
      </c>
      <c r="F56" s="7">
        <f>SUM(F48:F55)</f>
        <v>0</v>
      </c>
      <c r="G56" s="7">
        <f t="shared" si="6"/>
        <v>47</v>
      </c>
      <c r="H56" s="7"/>
      <c r="I56" s="42">
        <f t="shared" si="7"/>
        <v>1.9583333333333333</v>
      </c>
      <c r="J56" s="32"/>
      <c r="K56" s="32" t="s">
        <v>19</v>
      </c>
      <c r="L56" s="32"/>
    </row>
    <row r="59" spans="2:15" ht="15.75" thickBot="1" x14ac:dyDescent="0.3"/>
    <row r="60" spans="2:15" ht="15.75" thickBot="1" x14ac:dyDescent="0.3">
      <c r="C60" s="142" t="s">
        <v>12</v>
      </c>
      <c r="D60" s="143"/>
    </row>
    <row r="61" spans="2:15" ht="15.75" thickBot="1" x14ac:dyDescent="0.3">
      <c r="B61" s="5"/>
      <c r="C61" s="5"/>
      <c r="D61" s="5"/>
      <c r="E61" s="5"/>
      <c r="F61" s="5"/>
      <c r="G61" s="140" t="s">
        <v>2</v>
      </c>
      <c r="H61" s="141"/>
      <c r="I61" s="140" t="s">
        <v>13</v>
      </c>
      <c r="J61" s="141"/>
    </row>
    <row r="62" spans="2:15" ht="15.75" thickBot="1" x14ac:dyDescent="0.3">
      <c r="B62" s="22" t="s">
        <v>7</v>
      </c>
      <c r="C62" s="130" t="s">
        <v>5</v>
      </c>
      <c r="D62" s="131" t="s">
        <v>0</v>
      </c>
      <c r="E62" s="9" t="s">
        <v>6</v>
      </c>
      <c r="F62" s="130" t="s">
        <v>1</v>
      </c>
      <c r="G62" s="22" t="s">
        <v>17</v>
      </c>
      <c r="H62" s="130" t="s">
        <v>16</v>
      </c>
      <c r="I62" s="130" t="s">
        <v>17</v>
      </c>
      <c r="J62" s="131" t="s">
        <v>16</v>
      </c>
      <c r="K62" s="130" t="s">
        <v>14</v>
      </c>
      <c r="L62" s="130" t="s">
        <v>15</v>
      </c>
    </row>
    <row r="63" spans="2:15" ht="30" x14ac:dyDescent="0.25">
      <c r="B63" s="47">
        <v>1</v>
      </c>
      <c r="C63" s="67" t="s">
        <v>24</v>
      </c>
      <c r="D63" s="16">
        <v>10</v>
      </c>
      <c r="E63" s="20">
        <v>111</v>
      </c>
      <c r="F63" s="1"/>
      <c r="G63" s="20">
        <f>E63-D63</f>
        <v>101</v>
      </c>
      <c r="H63" s="30"/>
      <c r="I63" s="66">
        <f>G63/D63</f>
        <v>10.1</v>
      </c>
      <c r="J63" s="1"/>
      <c r="K63" s="1" t="s">
        <v>19</v>
      </c>
      <c r="L63" s="1"/>
      <c r="N63" s="59"/>
      <c r="O63" s="57"/>
    </row>
    <row r="64" spans="2:15" x14ac:dyDescent="0.25">
      <c r="B64" s="24">
        <v>2</v>
      </c>
      <c r="C64" s="50" t="s">
        <v>25</v>
      </c>
      <c r="D64" s="38">
        <v>10</v>
      </c>
      <c r="E64" s="15">
        <v>180</v>
      </c>
      <c r="F64" s="12"/>
      <c r="G64" s="20">
        <f t="shared" ref="G64:G69" si="8">E64-D64</f>
        <v>170</v>
      </c>
      <c r="H64" s="12"/>
      <c r="I64" s="42">
        <f t="shared" ref="I64:I69" si="9">G64/D64</f>
        <v>17</v>
      </c>
      <c r="J64" s="26"/>
      <c r="K64" s="26" t="s">
        <v>19</v>
      </c>
      <c r="L64" s="26"/>
      <c r="N64" s="59"/>
      <c r="O64" s="57"/>
    </row>
    <row r="65" spans="2:12" ht="75" x14ac:dyDescent="0.25">
      <c r="B65" s="24">
        <v>4</v>
      </c>
      <c r="C65" s="12" t="s">
        <v>37</v>
      </c>
      <c r="D65" s="38">
        <v>8</v>
      </c>
      <c r="E65" s="15">
        <v>26</v>
      </c>
      <c r="F65" s="12"/>
      <c r="G65" s="20">
        <f t="shared" si="8"/>
        <v>18</v>
      </c>
      <c r="H65" s="12"/>
      <c r="I65" s="42">
        <f t="shared" si="9"/>
        <v>2.25</v>
      </c>
      <c r="J65" s="26"/>
      <c r="K65" s="26" t="s">
        <v>19</v>
      </c>
      <c r="L65" s="46" t="s">
        <v>95</v>
      </c>
    </row>
    <row r="66" spans="2:12" x14ac:dyDescent="0.25">
      <c r="B66" s="24">
        <v>5</v>
      </c>
      <c r="C66" s="12"/>
      <c r="D66" s="38"/>
      <c r="E66" s="15"/>
      <c r="F66" s="12"/>
      <c r="G66" s="20">
        <f t="shared" si="8"/>
        <v>0</v>
      </c>
      <c r="H66" s="12"/>
      <c r="I66" s="42" t="e">
        <f t="shared" si="9"/>
        <v>#DIV/0!</v>
      </c>
      <c r="J66" s="26"/>
      <c r="K66" s="26"/>
      <c r="L66" s="26"/>
    </row>
    <row r="67" spans="2:12" x14ac:dyDescent="0.25">
      <c r="B67" s="24">
        <v>6</v>
      </c>
      <c r="C67" s="12"/>
      <c r="D67" s="38"/>
      <c r="E67" s="15"/>
      <c r="F67" s="12"/>
      <c r="G67" s="20">
        <f t="shared" si="8"/>
        <v>0</v>
      </c>
      <c r="H67" s="12"/>
      <c r="I67" s="42" t="e">
        <f t="shared" si="9"/>
        <v>#DIV/0!</v>
      </c>
      <c r="J67" s="26"/>
      <c r="K67" s="26"/>
      <c r="L67" s="26"/>
    </row>
    <row r="68" spans="2:12" ht="15.75" thickBot="1" x14ac:dyDescent="0.3">
      <c r="B68" s="48">
        <v>7</v>
      </c>
      <c r="C68" s="13"/>
      <c r="D68" s="39"/>
      <c r="E68" s="19"/>
      <c r="F68" s="18"/>
      <c r="G68" s="20">
        <f t="shared" si="8"/>
        <v>0</v>
      </c>
      <c r="H68" s="18"/>
      <c r="I68" s="42" t="e">
        <f t="shared" si="9"/>
        <v>#DIV/0!</v>
      </c>
      <c r="J68" s="27"/>
      <c r="K68" s="27"/>
      <c r="L68" s="27"/>
    </row>
    <row r="69" spans="2:12" ht="15.75" thickBot="1" x14ac:dyDescent="0.3">
      <c r="C69" s="14" t="s">
        <v>8</v>
      </c>
      <c r="D69" s="6">
        <f>SUM(D63:D68)</f>
        <v>28</v>
      </c>
      <c r="E69" s="7">
        <f>SUM(E63:E68)</f>
        <v>317</v>
      </c>
      <c r="F69" s="7">
        <f>SUM(F63:F68)</f>
        <v>0</v>
      </c>
      <c r="G69" s="20">
        <f t="shared" si="8"/>
        <v>289</v>
      </c>
      <c r="H69" s="7"/>
      <c r="I69" s="42">
        <f t="shared" si="9"/>
        <v>10.321428571428571</v>
      </c>
      <c r="J69" s="35"/>
      <c r="K69" s="33" t="s">
        <v>19</v>
      </c>
      <c r="L69" s="34"/>
    </row>
  </sheetData>
  <mergeCells count="22">
    <mergeCell ref="G6:H6"/>
    <mergeCell ref="I6:J6"/>
    <mergeCell ref="K2:M2"/>
    <mergeCell ref="C3:G3"/>
    <mergeCell ref="K3:M3"/>
    <mergeCell ref="K4:M4"/>
    <mergeCell ref="C5:D5"/>
    <mergeCell ref="K18:M18"/>
    <mergeCell ref="K19:M19"/>
    <mergeCell ref="K20:M20"/>
    <mergeCell ref="C21:D21"/>
    <mergeCell ref="G22:H22"/>
    <mergeCell ref="I22:J22"/>
    <mergeCell ref="C60:D60"/>
    <mergeCell ref="G61:H61"/>
    <mergeCell ref="I61:J61"/>
    <mergeCell ref="C32:D32"/>
    <mergeCell ref="G33:H33"/>
    <mergeCell ref="I33:J33"/>
    <mergeCell ref="C45:D45"/>
    <mergeCell ref="G46:H46"/>
    <mergeCell ref="I46:J46"/>
  </mergeCells>
  <conditionalFormatting sqref="K8:K14">
    <cfRule type="containsText" dxfId="13" priority="7" operator="containsText" text="Green">
      <formula>NOT(ISERROR(SEARCH("Green",K8)))</formula>
    </cfRule>
  </conditionalFormatting>
  <conditionalFormatting sqref="K1:K16 K21:K1048576">
    <cfRule type="containsText" dxfId="12" priority="4" operator="containsText" text="Amber">
      <formula>NOT(ISERROR(SEARCH("Amber",K1)))</formula>
    </cfRule>
    <cfRule type="containsText" dxfId="11" priority="5" operator="containsText" text="Red">
      <formula>NOT(ISERROR(SEARCH("Red",K1)))</formula>
    </cfRule>
    <cfRule type="containsText" dxfId="10" priority="6" operator="containsText" text="Green">
      <formula>NOT(ISERROR(SEARCH("Green",K1)))</formula>
    </cfRule>
  </conditionalFormatting>
  <conditionalFormatting sqref="K17:K20">
    <cfRule type="containsText" dxfId="9" priority="1" operator="containsText" text="Amber">
      <formula>NOT(ISERROR(SEARCH("Amber",K17)))</formula>
    </cfRule>
    <cfRule type="containsText" dxfId="8" priority="2" operator="containsText" text="Red">
      <formula>NOT(ISERROR(SEARCH("Red",K17)))</formula>
    </cfRule>
    <cfRule type="containsText" dxfId="7" priority="3" operator="containsText" text="Green">
      <formula>NOT(ISERROR(SEARCH("Green",K17)))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67"/>
  <sheetViews>
    <sheetView tabSelected="1" topLeftCell="L4" workbookViewId="0">
      <selection activeCell="X11" sqref="X11"/>
    </sheetView>
  </sheetViews>
  <sheetFormatPr defaultRowHeight="15" x14ac:dyDescent="0.25"/>
  <cols>
    <col min="2" max="2" width="7" customWidth="1"/>
    <col min="3" max="3" width="22" customWidth="1"/>
    <col min="4" max="4" width="16.5703125" bestFit="1" customWidth="1"/>
    <col min="5" max="5" width="15.7109375" bestFit="1" customWidth="1"/>
    <col min="6" max="6" width="14.85546875" bestFit="1" customWidth="1"/>
    <col min="7" max="7" width="8.42578125" customWidth="1"/>
    <col min="8" max="8" width="9.7109375" customWidth="1"/>
    <col min="9" max="9" width="8.5703125" customWidth="1"/>
    <col min="10" max="10" width="8.85546875" customWidth="1"/>
    <col min="11" max="11" width="13.140625" customWidth="1"/>
    <col min="12" max="12" width="14" customWidth="1"/>
    <col min="13" max="13" width="12.5703125" customWidth="1"/>
    <col min="14" max="14" width="13.7109375" customWidth="1"/>
    <col min="15" max="15" width="16" customWidth="1"/>
    <col min="16" max="16" width="13.7109375" customWidth="1"/>
    <col min="17" max="17" width="16" customWidth="1"/>
    <col min="18" max="18" width="13.140625" customWidth="1"/>
    <col min="19" max="19" width="15.42578125" bestFit="1" customWidth="1"/>
    <col min="20" max="20" width="18" customWidth="1"/>
    <col min="21" max="21" width="18.5703125" customWidth="1"/>
    <col min="22" max="22" width="22.7109375" customWidth="1"/>
    <col min="23" max="23" width="22.140625" customWidth="1"/>
    <col min="24" max="24" width="15" customWidth="1"/>
    <col min="25" max="25" width="12.7109375" customWidth="1"/>
    <col min="26" max="26" width="26" customWidth="1"/>
    <col min="27" max="27" width="12.7109375" customWidth="1"/>
    <col min="28" max="28" width="6.42578125" customWidth="1"/>
    <col min="29" max="29" width="24.140625" customWidth="1"/>
    <col min="30" max="30" width="40" bestFit="1" customWidth="1"/>
    <col min="31" max="31" width="24.42578125" customWidth="1"/>
    <col min="32" max="32" width="40" bestFit="1" customWidth="1"/>
    <col min="33" max="33" width="20.7109375" customWidth="1"/>
    <col min="34" max="34" width="20.42578125" customWidth="1"/>
    <col min="35" max="35" width="12" customWidth="1"/>
    <col min="36" max="36" width="12" bestFit="1" customWidth="1"/>
  </cols>
  <sheetData>
    <row r="2" spans="2:36" ht="15.75" thickBot="1" x14ac:dyDescent="0.3">
      <c r="J2" s="72" t="s">
        <v>19</v>
      </c>
      <c r="K2" s="145" t="s">
        <v>64</v>
      </c>
      <c r="L2" s="145"/>
      <c r="M2" s="145"/>
    </row>
    <row r="3" spans="2:36" ht="15.75" thickBot="1" x14ac:dyDescent="0.3">
      <c r="C3" s="142" t="s">
        <v>3</v>
      </c>
      <c r="D3" s="144"/>
      <c r="E3" s="144"/>
      <c r="F3" s="144"/>
      <c r="G3" s="143"/>
      <c r="H3" s="21"/>
      <c r="I3" s="21"/>
      <c r="J3" s="73" t="s">
        <v>54</v>
      </c>
      <c r="K3" s="145" t="s">
        <v>65</v>
      </c>
      <c r="L3" s="145"/>
      <c r="M3" s="145"/>
      <c r="O3" s="59"/>
    </row>
    <row r="4" spans="2:36" s="4" customFormat="1" ht="15.75" thickBot="1" x14ac:dyDescent="0.3">
      <c r="C4" s="3"/>
      <c r="D4" s="3"/>
      <c r="E4" s="3"/>
      <c r="F4" s="3"/>
      <c r="G4" s="3"/>
      <c r="H4" s="3"/>
      <c r="I4" s="3"/>
      <c r="J4" s="74" t="s">
        <v>18</v>
      </c>
      <c r="K4" s="146" t="s">
        <v>62</v>
      </c>
      <c r="L4" s="146"/>
      <c r="M4" s="146"/>
      <c r="O4" s="59"/>
    </row>
    <row r="5" spans="2:36" ht="15.75" thickBot="1" x14ac:dyDescent="0.3">
      <c r="C5" s="142" t="s">
        <v>4</v>
      </c>
      <c r="D5" s="143"/>
      <c r="O5" s="59"/>
    </row>
    <row r="6" spans="2:36" s="5" customFormat="1" ht="15.75" thickBot="1" x14ac:dyDescent="0.3">
      <c r="G6" s="140" t="s">
        <v>2</v>
      </c>
      <c r="H6" s="141"/>
      <c r="I6" s="140" t="s">
        <v>13</v>
      </c>
      <c r="J6" s="141"/>
      <c r="M6"/>
      <c r="N6" s="57"/>
      <c r="O6"/>
      <c r="P6"/>
      <c r="Q6"/>
      <c r="R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2:36" ht="15.75" thickBot="1" x14ac:dyDescent="0.3">
      <c r="B7" s="36" t="s">
        <v>7</v>
      </c>
      <c r="C7" s="133" t="s">
        <v>5</v>
      </c>
      <c r="D7" s="134" t="s">
        <v>0</v>
      </c>
      <c r="E7" s="9" t="s">
        <v>6</v>
      </c>
      <c r="F7" s="22" t="s">
        <v>1</v>
      </c>
      <c r="G7" s="133" t="s">
        <v>17</v>
      </c>
      <c r="H7" s="133" t="s">
        <v>16</v>
      </c>
      <c r="I7" s="133" t="s">
        <v>17</v>
      </c>
      <c r="J7" s="133" t="s">
        <v>16</v>
      </c>
      <c r="K7" s="133" t="s">
        <v>14</v>
      </c>
      <c r="L7" s="133" t="s">
        <v>15</v>
      </c>
      <c r="N7" s="57"/>
      <c r="O7" s="94" t="s">
        <v>70</v>
      </c>
      <c r="P7" s="95" t="s">
        <v>5</v>
      </c>
      <c r="Q7" s="95" t="s">
        <v>72</v>
      </c>
      <c r="R7" s="4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</row>
    <row r="8" spans="2:36" ht="30" x14ac:dyDescent="0.25">
      <c r="B8" s="98">
        <v>1</v>
      </c>
      <c r="C8" s="105" t="s">
        <v>20</v>
      </c>
      <c r="D8" s="106">
        <v>7</v>
      </c>
      <c r="E8" s="107">
        <v>53</v>
      </c>
      <c r="F8" s="108"/>
      <c r="G8" s="109">
        <f>E8-D8</f>
        <v>46</v>
      </c>
      <c r="H8" s="109"/>
      <c r="I8" s="110">
        <f>G8/D8</f>
        <v>6.5714285714285712</v>
      </c>
      <c r="J8" s="105"/>
      <c r="K8" s="105" t="s">
        <v>19</v>
      </c>
      <c r="L8" s="105" t="s">
        <v>60</v>
      </c>
      <c r="N8" s="57"/>
      <c r="O8" s="87" t="s">
        <v>71</v>
      </c>
      <c r="P8" s="88" t="s">
        <v>21</v>
      </c>
      <c r="Q8" s="89">
        <f>$I$9</f>
        <v>3.5</v>
      </c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</row>
    <row r="9" spans="2:36" ht="48" customHeight="1" x14ac:dyDescent="0.25">
      <c r="B9" s="12">
        <v>2</v>
      </c>
      <c r="C9" s="50" t="s">
        <v>21</v>
      </c>
      <c r="D9" s="38">
        <v>10</v>
      </c>
      <c r="E9" s="15">
        <v>45</v>
      </c>
      <c r="F9" s="24"/>
      <c r="G9" s="12">
        <f t="shared" ref="G9:G15" si="0">E9-D9</f>
        <v>35</v>
      </c>
      <c r="H9" s="12"/>
      <c r="I9" s="42">
        <f t="shared" ref="I9:I12" si="1">G9/D9</f>
        <v>3.5</v>
      </c>
      <c r="J9" s="26"/>
      <c r="K9" s="26" t="s">
        <v>19</v>
      </c>
      <c r="L9" s="26"/>
      <c r="M9" s="4"/>
      <c r="O9" s="87" t="s">
        <v>71</v>
      </c>
      <c r="P9" s="88" t="s">
        <v>90</v>
      </c>
      <c r="Q9" s="93">
        <f>$I$11</f>
        <v>0</v>
      </c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</row>
    <row r="10" spans="2:36" ht="30" x14ac:dyDescent="0.25">
      <c r="B10" s="98">
        <v>3</v>
      </c>
      <c r="C10" s="99" t="s">
        <v>28</v>
      </c>
      <c r="D10" s="100">
        <v>24</v>
      </c>
      <c r="E10" s="101">
        <v>49</v>
      </c>
      <c r="F10" s="102"/>
      <c r="G10" s="98">
        <f t="shared" si="0"/>
        <v>25</v>
      </c>
      <c r="H10" s="98"/>
      <c r="I10" s="103">
        <f t="shared" si="1"/>
        <v>1.0416666666666667</v>
      </c>
      <c r="J10" s="104"/>
      <c r="K10" s="104" t="s">
        <v>19</v>
      </c>
      <c r="L10" s="105" t="s">
        <v>60</v>
      </c>
      <c r="O10" s="87" t="s">
        <v>73</v>
      </c>
      <c r="P10" s="63" t="s">
        <v>22</v>
      </c>
      <c r="Q10" s="93">
        <f>$I$24</f>
        <v>-0.26666666666666666</v>
      </c>
      <c r="R10" s="59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</row>
    <row r="11" spans="2:36" ht="60" x14ac:dyDescent="0.25">
      <c r="B11" s="24">
        <v>4</v>
      </c>
      <c r="C11" s="92" t="s">
        <v>90</v>
      </c>
      <c r="D11" s="122">
        <v>20</v>
      </c>
      <c r="E11" s="122">
        <v>20</v>
      </c>
      <c r="F11" s="15"/>
      <c r="G11" s="12">
        <f t="shared" si="0"/>
        <v>0</v>
      </c>
      <c r="H11" s="12"/>
      <c r="I11" s="42">
        <f t="shared" si="1"/>
        <v>0</v>
      </c>
      <c r="J11" s="26"/>
      <c r="K11" s="26" t="s">
        <v>18</v>
      </c>
      <c r="L11" s="111" t="s">
        <v>100</v>
      </c>
      <c r="O11" s="87" t="s">
        <v>73</v>
      </c>
      <c r="P11" s="88" t="s">
        <v>92</v>
      </c>
      <c r="Q11" s="93">
        <f>$I$25</f>
        <v>-0.25</v>
      </c>
      <c r="R11" s="59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</row>
    <row r="12" spans="2:36" ht="15.75" thickBot="1" x14ac:dyDescent="0.3">
      <c r="B12" s="13">
        <v>5</v>
      </c>
      <c r="C12" s="13"/>
      <c r="D12" s="39"/>
      <c r="E12" s="19"/>
      <c r="F12" s="25"/>
      <c r="G12" s="18">
        <f t="shared" si="0"/>
        <v>0</v>
      </c>
      <c r="H12" s="18"/>
      <c r="I12" s="54" t="e">
        <f t="shared" si="1"/>
        <v>#DIV/0!</v>
      </c>
      <c r="J12" s="31"/>
      <c r="K12" s="31"/>
      <c r="L12" s="27"/>
      <c r="O12" s="87" t="s">
        <v>73</v>
      </c>
      <c r="P12" s="88" t="s">
        <v>93</v>
      </c>
      <c r="Q12" s="93">
        <f>$I$26</f>
        <v>0</v>
      </c>
      <c r="R12" s="59"/>
    </row>
    <row r="13" spans="2:36" ht="15.75" thickBot="1" x14ac:dyDescent="0.3">
      <c r="B13" s="56"/>
      <c r="C13" s="112"/>
      <c r="D13" s="56"/>
      <c r="E13" s="56"/>
      <c r="F13" s="113"/>
      <c r="G13" s="53"/>
      <c r="H13" s="53"/>
      <c r="I13" s="114"/>
      <c r="J13" s="115"/>
      <c r="K13" s="115"/>
      <c r="L13" s="116"/>
      <c r="O13" s="87" t="s">
        <v>73</v>
      </c>
      <c r="P13" s="88" t="s">
        <v>86</v>
      </c>
      <c r="Q13" s="93">
        <v>0</v>
      </c>
      <c r="R13" s="59"/>
    </row>
    <row r="14" spans="2:36" ht="15.75" thickBot="1" x14ac:dyDescent="0.3">
      <c r="B14" s="56"/>
      <c r="C14" s="112"/>
      <c r="D14" s="56"/>
      <c r="E14" s="56"/>
      <c r="F14" s="113"/>
      <c r="G14" s="53"/>
      <c r="H14" s="53"/>
      <c r="I14" s="114"/>
      <c r="J14" s="115"/>
      <c r="K14" s="115"/>
      <c r="L14" s="116"/>
      <c r="O14" s="87" t="s">
        <v>73</v>
      </c>
      <c r="P14" s="88" t="s">
        <v>93</v>
      </c>
      <c r="Q14" s="93"/>
      <c r="R14" s="59"/>
    </row>
    <row r="15" spans="2:36" ht="15.75" thickBot="1" x14ac:dyDescent="0.3">
      <c r="C15" s="14" t="s">
        <v>8</v>
      </c>
      <c r="D15" s="6">
        <f>SUM(D8:D12)</f>
        <v>61</v>
      </c>
      <c r="E15" s="7">
        <f>SUM(E8:E12)</f>
        <v>167</v>
      </c>
      <c r="F15" s="6">
        <f>SUM(F8:F12)</f>
        <v>0</v>
      </c>
      <c r="G15" s="7">
        <f t="shared" si="0"/>
        <v>106</v>
      </c>
      <c r="H15" s="7"/>
      <c r="I15" s="55">
        <f>G15/D15</f>
        <v>1.7377049180327868</v>
      </c>
      <c r="J15" s="32"/>
      <c r="K15" s="32" t="s">
        <v>19</v>
      </c>
      <c r="L15" s="32"/>
      <c r="O15" s="126" t="s">
        <v>77</v>
      </c>
      <c r="P15" s="129" t="s">
        <v>94</v>
      </c>
      <c r="Q15" s="128">
        <f>$I$49</f>
        <v>-0.5</v>
      </c>
      <c r="R15" s="59"/>
    </row>
    <row r="16" spans="2:36" x14ac:dyDescent="0.25">
      <c r="C16" s="81"/>
      <c r="D16" s="56"/>
      <c r="E16" s="56"/>
      <c r="F16" s="56"/>
      <c r="G16" s="56"/>
      <c r="H16" s="56"/>
      <c r="I16" s="82"/>
      <c r="J16" s="83"/>
      <c r="K16" s="83"/>
      <c r="L16" s="83"/>
      <c r="O16" s="125" t="s">
        <v>76</v>
      </c>
      <c r="P16" s="88" t="s">
        <v>89</v>
      </c>
      <c r="Q16" s="128">
        <f>$I$60</f>
        <v>10.1</v>
      </c>
      <c r="R16" s="59"/>
    </row>
    <row r="17" spans="2:17" ht="30" x14ac:dyDescent="0.25">
      <c r="C17" s="81"/>
      <c r="D17" s="56"/>
      <c r="E17" s="56"/>
      <c r="F17" s="56"/>
      <c r="G17" s="56"/>
      <c r="H17" s="56"/>
      <c r="O17" s="87" t="s">
        <v>76</v>
      </c>
      <c r="P17" s="88" t="s">
        <v>25</v>
      </c>
      <c r="Q17" s="89">
        <f>I61</f>
        <v>17</v>
      </c>
    </row>
    <row r="18" spans="2:17" x14ac:dyDescent="0.25">
      <c r="C18" s="81"/>
      <c r="D18" s="56"/>
      <c r="E18" s="56"/>
      <c r="F18" s="56"/>
      <c r="G18" s="56"/>
      <c r="H18" s="56"/>
      <c r="J18" s="72" t="s">
        <v>19</v>
      </c>
      <c r="K18" s="145" t="s">
        <v>67</v>
      </c>
      <c r="L18" s="145"/>
      <c r="M18" s="145"/>
      <c r="O18" s="87" t="s">
        <v>76</v>
      </c>
      <c r="P18" s="117" t="s">
        <v>96</v>
      </c>
      <c r="Q18" s="89">
        <f>$I$63</f>
        <v>2.25</v>
      </c>
    </row>
    <row r="19" spans="2:17" ht="30" x14ac:dyDescent="0.25">
      <c r="I19" s="21"/>
      <c r="J19" s="73" t="s">
        <v>54</v>
      </c>
      <c r="K19" s="145" t="s">
        <v>66</v>
      </c>
      <c r="L19" s="145"/>
      <c r="M19" s="145"/>
      <c r="O19" s="87" t="s">
        <v>76</v>
      </c>
      <c r="P19" s="88" t="s">
        <v>99</v>
      </c>
      <c r="Q19" s="89">
        <f>$I$62</f>
        <v>-0.5</v>
      </c>
    </row>
    <row r="20" spans="2:17" ht="15.75" thickBot="1" x14ac:dyDescent="0.3">
      <c r="I20" s="3"/>
      <c r="J20" s="74" t="s">
        <v>18</v>
      </c>
      <c r="K20" s="146" t="s">
        <v>62</v>
      </c>
      <c r="L20" s="146"/>
      <c r="M20" s="146"/>
    </row>
    <row r="21" spans="2:17" ht="15.75" thickBot="1" x14ac:dyDescent="0.3">
      <c r="C21" s="142" t="s">
        <v>9</v>
      </c>
      <c r="D21" s="143"/>
    </row>
    <row r="22" spans="2:17" ht="15.75" thickBot="1" x14ac:dyDescent="0.3">
      <c r="B22" s="5"/>
      <c r="C22" s="5"/>
      <c r="D22" s="5"/>
      <c r="E22" s="5"/>
      <c r="F22" s="5"/>
      <c r="G22" s="140" t="s">
        <v>2</v>
      </c>
      <c r="H22" s="141"/>
      <c r="I22" s="140" t="s">
        <v>13</v>
      </c>
      <c r="J22" s="141"/>
    </row>
    <row r="23" spans="2:17" ht="15.75" thickBot="1" x14ac:dyDescent="0.3">
      <c r="B23" s="133" t="s">
        <v>7</v>
      </c>
      <c r="C23" s="134" t="s">
        <v>5</v>
      </c>
      <c r="D23" s="134" t="s">
        <v>0</v>
      </c>
      <c r="E23" s="9" t="s">
        <v>6</v>
      </c>
      <c r="F23" s="133" t="s">
        <v>1</v>
      </c>
      <c r="G23" s="133" t="s">
        <v>17</v>
      </c>
      <c r="H23" s="133" t="s">
        <v>16</v>
      </c>
      <c r="I23" s="133" t="s">
        <v>17</v>
      </c>
      <c r="J23" s="133" t="s">
        <v>16</v>
      </c>
      <c r="K23" s="22" t="s">
        <v>14</v>
      </c>
      <c r="L23" s="36" t="s">
        <v>15</v>
      </c>
    </row>
    <row r="24" spans="2:17" x14ac:dyDescent="0.25">
      <c r="B24" s="30">
        <v>1</v>
      </c>
      <c r="C24" s="148" t="s">
        <v>22</v>
      </c>
      <c r="D24" s="16">
        <v>60</v>
      </c>
      <c r="E24" s="20">
        <v>44</v>
      </c>
      <c r="F24" s="1"/>
      <c r="G24" s="30">
        <f>E24-D24</f>
        <v>-16</v>
      </c>
      <c r="H24" s="30"/>
      <c r="I24" s="64">
        <f>G24/D24</f>
        <v>-0.26666666666666666</v>
      </c>
      <c r="J24" s="1"/>
      <c r="K24" s="23" t="s">
        <v>18</v>
      </c>
      <c r="L24" s="75"/>
    </row>
    <row r="25" spans="2:17" ht="60" x14ac:dyDescent="0.25">
      <c r="B25" s="12">
        <v>2</v>
      </c>
      <c r="C25" s="149" t="s">
        <v>91</v>
      </c>
      <c r="D25" s="38">
        <v>20</v>
      </c>
      <c r="E25" s="15">
        <v>15</v>
      </c>
      <c r="F25" s="12"/>
      <c r="G25" s="30">
        <f t="shared" ref="G25:G30" si="2">E25-D25</f>
        <v>-5</v>
      </c>
      <c r="H25" s="12"/>
      <c r="I25" s="41">
        <f t="shared" ref="I25:I30" si="3">G25/D25</f>
        <v>-0.25</v>
      </c>
      <c r="J25" s="26"/>
      <c r="K25" s="76" t="s">
        <v>18</v>
      </c>
      <c r="L25" s="40" t="s">
        <v>32</v>
      </c>
    </row>
    <row r="26" spans="2:17" ht="120.75" thickBot="1" x14ac:dyDescent="0.3">
      <c r="B26" s="12">
        <v>3</v>
      </c>
      <c r="C26" s="149" t="s">
        <v>101</v>
      </c>
      <c r="D26" s="38">
        <v>5</v>
      </c>
      <c r="E26" s="15">
        <v>5</v>
      </c>
      <c r="F26" s="12"/>
      <c r="G26" s="30">
        <f t="shared" si="2"/>
        <v>0</v>
      </c>
      <c r="H26" s="12"/>
      <c r="I26" s="41">
        <f t="shared" si="3"/>
        <v>0</v>
      </c>
      <c r="J26" s="26"/>
      <c r="K26" s="76" t="s">
        <v>18</v>
      </c>
      <c r="L26" s="147" t="s">
        <v>80</v>
      </c>
    </row>
    <row r="27" spans="2:17" ht="90.75" thickBot="1" x14ac:dyDescent="0.3">
      <c r="B27" s="18">
        <v>4</v>
      </c>
      <c r="C27" s="155" t="s">
        <v>93</v>
      </c>
      <c r="D27" s="39">
        <v>10</v>
      </c>
      <c r="E27" s="19">
        <v>10</v>
      </c>
      <c r="F27" s="18"/>
      <c r="G27" s="53">
        <f t="shared" si="2"/>
        <v>0</v>
      </c>
      <c r="H27" s="18"/>
      <c r="I27" s="51">
        <f t="shared" si="3"/>
        <v>0</v>
      </c>
      <c r="J27" s="31"/>
      <c r="K27" s="77" t="s">
        <v>18</v>
      </c>
      <c r="L27" s="156" t="s">
        <v>81</v>
      </c>
    </row>
    <row r="28" spans="2:17" ht="60.75" thickBot="1" x14ac:dyDescent="0.3">
      <c r="B28" s="6">
        <v>5</v>
      </c>
      <c r="C28" s="158" t="s">
        <v>31</v>
      </c>
      <c r="D28" s="159"/>
      <c r="E28" s="159">
        <v>20</v>
      </c>
      <c r="F28" s="159"/>
      <c r="G28" s="159"/>
      <c r="H28" s="159"/>
      <c r="I28" s="160"/>
      <c r="J28" s="33"/>
      <c r="K28" s="161"/>
      <c r="L28" s="162" t="s">
        <v>32</v>
      </c>
    </row>
    <row r="29" spans="2:17" ht="15.75" thickBot="1" x14ac:dyDescent="0.3">
      <c r="B29" s="112">
        <v>7</v>
      </c>
      <c r="C29" s="150"/>
      <c r="D29" s="151"/>
      <c r="E29" s="56"/>
      <c r="F29" s="53"/>
      <c r="G29" s="53"/>
      <c r="H29" s="53"/>
      <c r="I29" s="152"/>
      <c r="J29" s="115"/>
      <c r="K29" s="153"/>
      <c r="L29" s="157"/>
    </row>
    <row r="30" spans="2:17" ht="15.75" thickBot="1" x14ac:dyDescent="0.3">
      <c r="C30" s="49" t="s">
        <v>8</v>
      </c>
      <c r="D30" s="6">
        <f>SUM(D24:D29)</f>
        <v>95</v>
      </c>
      <c r="E30" s="7">
        <f>SUM(E24:E29)</f>
        <v>94</v>
      </c>
      <c r="F30" s="7">
        <f>SUM(F24:F29)</f>
        <v>0</v>
      </c>
      <c r="G30" s="7">
        <f t="shared" si="2"/>
        <v>-1</v>
      </c>
      <c r="H30" s="7"/>
      <c r="I30" s="52">
        <f t="shared" si="3"/>
        <v>-1.0526315789473684E-2</v>
      </c>
      <c r="J30" s="32"/>
      <c r="K30" s="154" t="s">
        <v>18</v>
      </c>
      <c r="L30" s="116"/>
    </row>
    <row r="32" spans="2:17" ht="15.75" thickBot="1" x14ac:dyDescent="0.3"/>
    <row r="33" spans="2:15" ht="15.75" thickBot="1" x14ac:dyDescent="0.3">
      <c r="C33" s="142" t="s">
        <v>10</v>
      </c>
      <c r="D33" s="143"/>
    </row>
    <row r="34" spans="2:15" ht="15.75" thickBot="1" x14ac:dyDescent="0.3">
      <c r="B34" s="5"/>
      <c r="C34" s="5"/>
      <c r="D34" s="5"/>
      <c r="E34" s="5"/>
      <c r="F34" s="5"/>
      <c r="G34" s="140" t="s">
        <v>2</v>
      </c>
      <c r="H34" s="141"/>
      <c r="I34" s="140" t="s">
        <v>13</v>
      </c>
      <c r="J34" s="141"/>
    </row>
    <row r="35" spans="2:15" ht="15.75" thickBot="1" x14ac:dyDescent="0.3">
      <c r="B35" s="133" t="s">
        <v>7</v>
      </c>
      <c r="C35" s="9" t="s">
        <v>5</v>
      </c>
      <c r="D35" s="133" t="s">
        <v>0</v>
      </c>
      <c r="E35" s="9" t="s">
        <v>6</v>
      </c>
      <c r="F35" s="133" t="s">
        <v>1</v>
      </c>
      <c r="G35" s="22" t="s">
        <v>17</v>
      </c>
      <c r="H35" s="133" t="s">
        <v>16</v>
      </c>
      <c r="I35" s="133" t="s">
        <v>17</v>
      </c>
      <c r="J35" s="133" t="s">
        <v>16</v>
      </c>
      <c r="K35" s="133" t="s">
        <v>14</v>
      </c>
      <c r="L35" s="133" t="s">
        <v>15</v>
      </c>
      <c r="N35" s="59"/>
      <c r="O35" s="57"/>
    </row>
    <row r="36" spans="2:15" x14ac:dyDescent="0.25">
      <c r="B36" s="11">
        <v>1</v>
      </c>
      <c r="C36" s="121"/>
      <c r="D36" s="1"/>
      <c r="E36" s="2"/>
      <c r="F36" s="1"/>
      <c r="G36" s="20">
        <f>E36-D36</f>
        <v>0</v>
      </c>
      <c r="H36" s="30"/>
      <c r="I36" s="64" t="e">
        <f>G36/D36</f>
        <v>#DIV/0!</v>
      </c>
      <c r="J36" s="1"/>
      <c r="K36" s="1"/>
      <c r="L36" s="78"/>
      <c r="N36" s="59"/>
      <c r="O36" s="57"/>
    </row>
    <row r="37" spans="2:15" x14ac:dyDescent="0.25">
      <c r="B37" s="12">
        <v>2</v>
      </c>
      <c r="C37" s="15"/>
      <c r="D37" s="12"/>
      <c r="E37" s="15"/>
      <c r="F37" s="12"/>
      <c r="G37" s="20">
        <f t="shared" ref="G37:G43" si="4">E37-D37</f>
        <v>0</v>
      </c>
      <c r="H37" s="12"/>
      <c r="I37" s="12" t="e">
        <f t="shared" ref="I37:I43" si="5">G37/D37</f>
        <v>#DIV/0!</v>
      </c>
      <c r="J37" s="26"/>
      <c r="K37" s="26"/>
      <c r="L37" s="26"/>
      <c r="N37" s="59"/>
      <c r="O37" s="57"/>
    </row>
    <row r="38" spans="2:15" x14ac:dyDescent="0.25">
      <c r="B38" s="12">
        <v>3</v>
      </c>
      <c r="C38" s="15"/>
      <c r="D38" s="12"/>
      <c r="E38" s="15"/>
      <c r="F38" s="12"/>
      <c r="G38" s="20">
        <f t="shared" si="4"/>
        <v>0</v>
      </c>
      <c r="H38" s="12"/>
      <c r="I38" s="12" t="e">
        <f t="shared" si="5"/>
        <v>#DIV/0!</v>
      </c>
      <c r="J38" s="26"/>
      <c r="K38" s="26"/>
      <c r="L38" s="26"/>
    </row>
    <row r="39" spans="2:15" x14ac:dyDescent="0.25">
      <c r="B39" s="12">
        <v>4</v>
      </c>
      <c r="C39" s="15"/>
      <c r="D39" s="12"/>
      <c r="E39" s="15"/>
      <c r="F39" s="12"/>
      <c r="G39" s="20">
        <f t="shared" si="4"/>
        <v>0</v>
      </c>
      <c r="H39" s="12"/>
      <c r="I39" s="12" t="e">
        <f t="shared" si="5"/>
        <v>#DIV/0!</v>
      </c>
      <c r="J39" s="26"/>
      <c r="K39" s="26"/>
      <c r="L39" s="26"/>
    </row>
    <row r="40" spans="2:15" x14ac:dyDescent="0.25">
      <c r="B40" s="12">
        <v>5</v>
      </c>
      <c r="C40" s="15"/>
      <c r="D40" s="12"/>
      <c r="E40" s="15"/>
      <c r="F40" s="12"/>
      <c r="G40" s="20">
        <f t="shared" si="4"/>
        <v>0</v>
      </c>
      <c r="H40" s="12"/>
      <c r="I40" s="12" t="e">
        <f t="shared" si="5"/>
        <v>#DIV/0!</v>
      </c>
      <c r="J40" s="26"/>
      <c r="K40" s="26"/>
      <c r="L40" s="26"/>
    </row>
    <row r="41" spans="2:15" x14ac:dyDescent="0.25">
      <c r="B41" s="12">
        <v>6</v>
      </c>
      <c r="C41" s="15"/>
      <c r="D41" s="12"/>
      <c r="E41" s="15"/>
      <c r="F41" s="12"/>
      <c r="G41" s="20">
        <f t="shared" si="4"/>
        <v>0</v>
      </c>
      <c r="H41" s="12"/>
      <c r="I41" s="12" t="e">
        <f t="shared" si="5"/>
        <v>#DIV/0!</v>
      </c>
      <c r="J41" s="26"/>
      <c r="K41" s="26"/>
      <c r="L41" s="26"/>
    </row>
    <row r="42" spans="2:15" ht="15.75" thickBot="1" x14ac:dyDescent="0.3">
      <c r="B42" s="13">
        <v>7</v>
      </c>
      <c r="C42" s="17"/>
      <c r="D42" s="18"/>
      <c r="E42" s="19"/>
      <c r="F42" s="18"/>
      <c r="G42" s="56">
        <f t="shared" si="4"/>
        <v>0</v>
      </c>
      <c r="H42" s="18"/>
      <c r="I42" s="18" t="e">
        <f t="shared" si="5"/>
        <v>#DIV/0!</v>
      </c>
      <c r="J42" s="31"/>
      <c r="K42" s="31"/>
      <c r="L42" s="27"/>
    </row>
    <row r="43" spans="2:15" ht="15.75" thickBot="1" x14ac:dyDescent="0.3">
      <c r="C43" s="14" t="s">
        <v>8</v>
      </c>
      <c r="D43" s="6">
        <f>SUM(D36:D42)</f>
        <v>0</v>
      </c>
      <c r="E43" s="7">
        <f>SUM(E36:E42)</f>
        <v>0</v>
      </c>
      <c r="F43" s="7">
        <f>SUM(F36:F42)</f>
        <v>0</v>
      </c>
      <c r="G43" s="7">
        <f t="shared" si="4"/>
        <v>0</v>
      </c>
      <c r="H43" s="7"/>
      <c r="I43" s="7" t="e">
        <f t="shared" si="5"/>
        <v>#DIV/0!</v>
      </c>
      <c r="J43" s="32"/>
      <c r="K43" s="32" t="s">
        <v>26</v>
      </c>
      <c r="L43" s="32"/>
    </row>
    <row r="45" spans="2:15" ht="15.75" thickBot="1" x14ac:dyDescent="0.3"/>
    <row r="46" spans="2:15" ht="15.75" thickBot="1" x14ac:dyDescent="0.3">
      <c r="C46" s="142" t="s">
        <v>11</v>
      </c>
      <c r="D46" s="143"/>
    </row>
    <row r="47" spans="2:15" ht="15.75" thickBot="1" x14ac:dyDescent="0.3">
      <c r="B47" s="5"/>
      <c r="C47" s="5"/>
      <c r="D47" s="5"/>
      <c r="E47" s="5"/>
      <c r="F47" s="5"/>
      <c r="G47" s="140" t="s">
        <v>2</v>
      </c>
      <c r="H47" s="141"/>
      <c r="I47" s="140" t="s">
        <v>13</v>
      </c>
      <c r="J47" s="141"/>
    </row>
    <row r="48" spans="2:15" ht="15.75" thickBot="1" x14ac:dyDescent="0.3">
      <c r="B48" s="22" t="s">
        <v>7</v>
      </c>
      <c r="C48" s="136" t="s">
        <v>5</v>
      </c>
      <c r="D48" s="134" t="s">
        <v>0</v>
      </c>
      <c r="E48" s="9" t="s">
        <v>6</v>
      </c>
      <c r="F48" s="133" t="s">
        <v>1</v>
      </c>
      <c r="G48" s="22" t="s">
        <v>17</v>
      </c>
      <c r="H48" s="133" t="s">
        <v>16</v>
      </c>
      <c r="I48" s="133" t="s">
        <v>17</v>
      </c>
      <c r="J48" s="133" t="s">
        <v>16</v>
      </c>
      <c r="K48" s="22" t="s">
        <v>14</v>
      </c>
      <c r="L48" s="36" t="s">
        <v>15</v>
      </c>
      <c r="N48" s="59"/>
      <c r="O48" s="57"/>
    </row>
    <row r="49" spans="2:15" ht="30" x14ac:dyDescent="0.25">
      <c r="B49" s="24">
        <v>1</v>
      </c>
      <c r="C49" s="137" t="s">
        <v>98</v>
      </c>
      <c r="D49" s="38">
        <v>4</v>
      </c>
      <c r="E49" s="15">
        <v>2</v>
      </c>
      <c r="F49" s="12"/>
      <c r="G49" s="20">
        <f t="shared" ref="G49:G53" si="6">E49-D49</f>
        <v>-2</v>
      </c>
      <c r="H49" s="12"/>
      <c r="I49" s="42">
        <f t="shared" ref="I49:I53" si="7">G49/D49</f>
        <v>-0.5</v>
      </c>
      <c r="J49" s="26"/>
      <c r="K49" s="76" t="s">
        <v>18</v>
      </c>
      <c r="L49" s="26" t="s">
        <v>102</v>
      </c>
    </row>
    <row r="50" spans="2:15" x14ac:dyDescent="0.25">
      <c r="B50" s="24">
        <v>2</v>
      </c>
      <c r="C50" s="26"/>
      <c r="D50" s="38"/>
      <c r="E50" s="15"/>
      <c r="F50" s="12"/>
      <c r="G50" s="20">
        <f t="shared" si="6"/>
        <v>0</v>
      </c>
      <c r="H50" s="12"/>
      <c r="I50" s="42" t="e">
        <f t="shared" si="7"/>
        <v>#DIV/0!</v>
      </c>
      <c r="J50" s="26"/>
      <c r="K50" s="76"/>
      <c r="L50" s="26"/>
    </row>
    <row r="51" spans="2:15" x14ac:dyDescent="0.25">
      <c r="B51" s="24">
        <v>3</v>
      </c>
      <c r="C51" s="12"/>
      <c r="D51" s="38"/>
      <c r="E51" s="15"/>
      <c r="F51" s="12"/>
      <c r="G51" s="20">
        <f t="shared" si="6"/>
        <v>0</v>
      </c>
      <c r="H51" s="12"/>
      <c r="I51" s="42" t="e">
        <f t="shared" si="7"/>
        <v>#DIV/0!</v>
      </c>
      <c r="J51" s="26"/>
      <c r="K51" s="76"/>
      <c r="L51" s="26"/>
    </row>
    <row r="52" spans="2:15" ht="15.75" thickBot="1" x14ac:dyDescent="0.3">
      <c r="B52" s="48">
        <v>4</v>
      </c>
      <c r="C52" s="18"/>
      <c r="D52" s="39"/>
      <c r="E52" s="19"/>
      <c r="F52" s="18"/>
      <c r="G52" s="20">
        <f t="shared" si="6"/>
        <v>0</v>
      </c>
      <c r="H52" s="18"/>
      <c r="I52" s="42" t="e">
        <f t="shared" si="7"/>
        <v>#DIV/0!</v>
      </c>
      <c r="J52" s="31"/>
      <c r="K52" s="77"/>
      <c r="L52" s="27"/>
    </row>
    <row r="53" spans="2:15" ht="15.75" thickBot="1" x14ac:dyDescent="0.3">
      <c r="C53" s="14" t="s">
        <v>8</v>
      </c>
      <c r="D53" s="135">
        <f>SUM(D49:D52)</f>
        <v>4</v>
      </c>
      <c r="E53" s="7">
        <f>SUM(E49:E52)</f>
        <v>2</v>
      </c>
      <c r="F53" s="7">
        <f>SUM(F49:F52)</f>
        <v>0</v>
      </c>
      <c r="G53" s="7">
        <f t="shared" si="6"/>
        <v>-2</v>
      </c>
      <c r="H53" s="7"/>
      <c r="I53" s="42">
        <f t="shared" si="7"/>
        <v>-0.5</v>
      </c>
      <c r="J53" s="32"/>
      <c r="K53" s="32" t="s">
        <v>19</v>
      </c>
      <c r="L53" s="32"/>
    </row>
    <row r="56" spans="2:15" ht="15.75" thickBot="1" x14ac:dyDescent="0.3"/>
    <row r="57" spans="2:15" ht="15.75" thickBot="1" x14ac:dyDescent="0.3">
      <c r="C57" s="142" t="s">
        <v>12</v>
      </c>
      <c r="D57" s="143"/>
    </row>
    <row r="58" spans="2:15" ht="15.75" thickBot="1" x14ac:dyDescent="0.3">
      <c r="B58" s="5"/>
      <c r="C58" s="5"/>
      <c r="D58" s="5"/>
      <c r="E58" s="5"/>
      <c r="F58" s="5"/>
      <c r="G58" s="140" t="s">
        <v>2</v>
      </c>
      <c r="H58" s="141"/>
      <c r="I58" s="140" t="s">
        <v>13</v>
      </c>
      <c r="J58" s="141"/>
    </row>
    <row r="59" spans="2:15" ht="15.75" thickBot="1" x14ac:dyDescent="0.3">
      <c r="B59" s="22" t="s">
        <v>7</v>
      </c>
      <c r="C59" s="133" t="s">
        <v>5</v>
      </c>
      <c r="D59" s="134" t="s">
        <v>0</v>
      </c>
      <c r="E59" s="9" t="s">
        <v>6</v>
      </c>
      <c r="F59" s="133" t="s">
        <v>1</v>
      </c>
      <c r="G59" s="22" t="s">
        <v>17</v>
      </c>
      <c r="H59" s="133" t="s">
        <v>16</v>
      </c>
      <c r="I59" s="133" t="s">
        <v>17</v>
      </c>
      <c r="J59" s="134" t="s">
        <v>16</v>
      </c>
      <c r="K59" s="133" t="s">
        <v>14</v>
      </c>
      <c r="L59" s="133" t="s">
        <v>15</v>
      </c>
    </row>
    <row r="60" spans="2:15" ht="30" x14ac:dyDescent="0.25">
      <c r="B60" s="47">
        <v>1</v>
      </c>
      <c r="C60" s="67" t="s">
        <v>24</v>
      </c>
      <c r="D60" s="16">
        <v>10</v>
      </c>
      <c r="E60" s="20">
        <v>111</v>
      </c>
      <c r="F60" s="1"/>
      <c r="G60" s="20">
        <f>E60-D60</f>
        <v>101</v>
      </c>
      <c r="H60" s="30"/>
      <c r="I60" s="66">
        <f>G60/D60</f>
        <v>10.1</v>
      </c>
      <c r="J60" s="1"/>
      <c r="K60" s="1" t="s">
        <v>19</v>
      </c>
      <c r="L60" s="1"/>
      <c r="N60" s="59"/>
      <c r="O60" s="57"/>
    </row>
    <row r="61" spans="2:15" x14ac:dyDescent="0.25">
      <c r="B61" s="24">
        <v>2</v>
      </c>
      <c r="C61" s="50" t="s">
        <v>25</v>
      </c>
      <c r="D61" s="38">
        <v>10</v>
      </c>
      <c r="E61" s="15">
        <v>180</v>
      </c>
      <c r="F61" s="12"/>
      <c r="G61" s="20">
        <f t="shared" ref="G61:G67" si="8">E61-D61</f>
        <v>170</v>
      </c>
      <c r="H61" s="12"/>
      <c r="I61" s="42">
        <f t="shared" ref="I61:I67" si="9">G61/D61</f>
        <v>17</v>
      </c>
      <c r="J61" s="26"/>
      <c r="K61" s="26" t="s">
        <v>19</v>
      </c>
      <c r="L61" s="26"/>
      <c r="N61" s="59"/>
      <c r="O61" s="57"/>
    </row>
    <row r="62" spans="2:15" x14ac:dyDescent="0.25">
      <c r="B62" s="24">
        <v>3</v>
      </c>
      <c r="C62" s="50" t="s">
        <v>99</v>
      </c>
      <c r="D62" s="38">
        <v>10</v>
      </c>
      <c r="E62" s="15">
        <v>5</v>
      </c>
      <c r="F62" s="12"/>
      <c r="G62" s="20">
        <f t="shared" si="8"/>
        <v>-5</v>
      </c>
      <c r="H62" s="12"/>
      <c r="I62" s="42">
        <f t="shared" si="9"/>
        <v>-0.5</v>
      </c>
      <c r="J62" s="26"/>
      <c r="K62" s="26" t="s">
        <v>18</v>
      </c>
      <c r="L62" s="115"/>
      <c r="N62" s="59"/>
      <c r="O62" s="57"/>
    </row>
    <row r="63" spans="2:15" ht="75" x14ac:dyDescent="0.25">
      <c r="B63" s="24">
        <v>4</v>
      </c>
      <c r="C63" s="12" t="s">
        <v>37</v>
      </c>
      <c r="D63" s="38">
        <v>8</v>
      </c>
      <c r="E63" s="15">
        <v>26</v>
      </c>
      <c r="F63" s="12"/>
      <c r="G63" s="20">
        <f t="shared" si="8"/>
        <v>18</v>
      </c>
      <c r="H63" s="12"/>
      <c r="I63" s="42">
        <f t="shared" si="9"/>
        <v>2.25</v>
      </c>
      <c r="J63" s="26"/>
      <c r="K63" s="26" t="s">
        <v>19</v>
      </c>
      <c r="L63" s="46" t="s">
        <v>95</v>
      </c>
    </row>
    <row r="64" spans="2:15" x14ac:dyDescent="0.25">
      <c r="B64" s="24">
        <v>5</v>
      </c>
      <c r="C64" s="12"/>
      <c r="D64" s="38"/>
      <c r="E64" s="15"/>
      <c r="F64" s="12"/>
      <c r="G64" s="20">
        <f t="shared" si="8"/>
        <v>0</v>
      </c>
      <c r="H64" s="12"/>
      <c r="I64" s="42" t="e">
        <f t="shared" si="9"/>
        <v>#DIV/0!</v>
      </c>
      <c r="J64" s="26"/>
      <c r="K64" s="26"/>
      <c r="L64" s="26"/>
    </row>
    <row r="65" spans="2:12" x14ac:dyDescent="0.25">
      <c r="B65" s="24">
        <v>6</v>
      </c>
      <c r="C65" s="12"/>
      <c r="D65" s="38"/>
      <c r="E65" s="15"/>
      <c r="F65" s="12"/>
      <c r="G65" s="20">
        <f t="shared" si="8"/>
        <v>0</v>
      </c>
      <c r="H65" s="12"/>
      <c r="I65" s="42" t="e">
        <f t="shared" si="9"/>
        <v>#DIV/0!</v>
      </c>
      <c r="J65" s="26"/>
      <c r="K65" s="26"/>
      <c r="L65" s="26"/>
    </row>
    <row r="66" spans="2:12" ht="15.75" thickBot="1" x14ac:dyDescent="0.3">
      <c r="B66" s="48">
        <v>7</v>
      </c>
      <c r="C66" s="13"/>
      <c r="D66" s="39"/>
      <c r="E66" s="19"/>
      <c r="F66" s="18"/>
      <c r="G66" s="20">
        <f t="shared" si="8"/>
        <v>0</v>
      </c>
      <c r="H66" s="18"/>
      <c r="I66" s="42" t="e">
        <f t="shared" si="9"/>
        <v>#DIV/0!</v>
      </c>
      <c r="J66" s="27"/>
      <c r="K66" s="27"/>
      <c r="L66" s="27"/>
    </row>
    <row r="67" spans="2:12" ht="15.75" thickBot="1" x14ac:dyDescent="0.3">
      <c r="C67" s="14" t="s">
        <v>8</v>
      </c>
      <c r="D67" s="6">
        <f>SUM(D60:D66)</f>
        <v>38</v>
      </c>
      <c r="E67" s="7">
        <f>SUM(E60:E66)</f>
        <v>322</v>
      </c>
      <c r="F67" s="7">
        <f>SUM(F60:F66)</f>
        <v>0</v>
      </c>
      <c r="G67" s="20">
        <f t="shared" si="8"/>
        <v>284</v>
      </c>
      <c r="H67" s="7"/>
      <c r="I67" s="42">
        <f t="shared" si="9"/>
        <v>7.4736842105263159</v>
      </c>
      <c r="J67" s="35"/>
      <c r="K67" s="33" t="s">
        <v>19</v>
      </c>
      <c r="L67" s="34"/>
    </row>
  </sheetData>
  <mergeCells count="22">
    <mergeCell ref="C57:D57"/>
    <mergeCell ref="G58:H58"/>
    <mergeCell ref="I58:J58"/>
    <mergeCell ref="C33:D33"/>
    <mergeCell ref="G34:H34"/>
    <mergeCell ref="I34:J34"/>
    <mergeCell ref="C46:D46"/>
    <mergeCell ref="G47:H47"/>
    <mergeCell ref="I47:J47"/>
    <mergeCell ref="K18:M18"/>
    <mergeCell ref="K19:M19"/>
    <mergeCell ref="K20:M20"/>
    <mergeCell ref="C21:D21"/>
    <mergeCell ref="G22:H22"/>
    <mergeCell ref="I22:J22"/>
    <mergeCell ref="K2:M2"/>
    <mergeCell ref="C3:G3"/>
    <mergeCell ref="K3:M3"/>
    <mergeCell ref="K4:M4"/>
    <mergeCell ref="C5:D5"/>
    <mergeCell ref="G6:H6"/>
    <mergeCell ref="I6:J6"/>
  </mergeCells>
  <conditionalFormatting sqref="K8:K14">
    <cfRule type="containsText" dxfId="6" priority="7" operator="containsText" text="Green">
      <formula>NOT(ISERROR(SEARCH("Green",K8)))</formula>
    </cfRule>
  </conditionalFormatting>
  <conditionalFormatting sqref="K1:K16 K21:K1048576">
    <cfRule type="containsText" dxfId="5" priority="4" operator="containsText" text="Amber">
      <formula>NOT(ISERROR(SEARCH("Amber",K1)))</formula>
    </cfRule>
    <cfRule type="containsText" dxfId="4" priority="5" operator="containsText" text="Red">
      <formula>NOT(ISERROR(SEARCH("Red",K1)))</formula>
    </cfRule>
    <cfRule type="containsText" dxfId="3" priority="6" operator="containsText" text="Green">
      <formula>NOT(ISERROR(SEARCH("Green",K1)))</formula>
    </cfRule>
  </conditionalFormatting>
  <conditionalFormatting sqref="K17:K20">
    <cfRule type="containsText" dxfId="2" priority="1" operator="containsText" text="Amber">
      <formula>NOT(ISERROR(SEARCH("Amber",K17)))</formula>
    </cfRule>
    <cfRule type="containsText" dxfId="1" priority="2" operator="containsText" text="Red">
      <formula>NOT(ISERROR(SEARCH("Red",K17)))</formula>
    </cfRule>
    <cfRule type="containsText" dxfId="0" priority="3" operator="containsText" text="Green">
      <formula>NOT(ISERROR(SEARCH("Green",K17)))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Milestone 12-10-2020</vt:lpstr>
      <vt:lpstr>Milestone 19-10-2020</vt:lpstr>
      <vt:lpstr>Milestone 26-10-2020</vt:lpstr>
      <vt:lpstr>Milestone 02-11-2020</vt:lpstr>
      <vt:lpstr>Milestone 09-11-2020</vt:lpstr>
      <vt:lpstr>Milestone 16-11-2020</vt:lpstr>
      <vt:lpstr>Milestone 23-11-2020</vt:lpstr>
      <vt:lpstr>Milestone 30-11-2020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MosesAyoJohn</dc:creator>
  <cp:lastModifiedBy>Olufunmilayo Ogunjobi</cp:lastModifiedBy>
  <dcterms:created xsi:type="dcterms:W3CDTF">2020-10-06T15:08:40Z</dcterms:created>
  <dcterms:modified xsi:type="dcterms:W3CDTF">2020-11-30T09:30:48Z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0e424a6e-2ae6-4813-8bf7-7ed06183c5ec</vt:lpwstr>
  </property>
</Properties>
</file>